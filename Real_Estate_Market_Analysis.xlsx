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itor\Desktop\Dave Work space\"/>
    </mc:Choice>
  </mc:AlternateContent>
  <xr:revisionPtr revIDLastSave="0" documentId="13_ncr:1_{4DAFC104-15CA-427D-AE70-C8899B5FF53D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Table1" sheetId="1" r:id="rId1"/>
    <sheet name="Q1_Property_Type_Performance" sheetId="4" r:id="rId2"/>
    <sheet name="Q2_Top_Cities_By_Sales" sheetId="5" r:id="rId3"/>
    <sheet name="Q3_Sale_vs_Sold_Ratio_By_Area" sheetId="6" r:id="rId4"/>
    <sheet name="Q4_Best_Property_By_Area" sheetId="8" r:id="rId5"/>
    <sheet name="Q5_Sales_Trends" sheetId="9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<sst xmlns="http://schemas.openxmlformats.org/spreadsheetml/2006/main" count="611" uniqueCount="162">
  <si>
    <t>Property_ID</t>
  </si>
  <si>
    <t>City</t>
  </si>
  <si>
    <t>Property_Type</t>
  </si>
  <si>
    <t>Area_sqm</t>
  </si>
  <si>
    <t>Bedrooms</t>
  </si>
  <si>
    <t>Price_PHP</t>
  </si>
  <si>
    <t>Year_Built</t>
  </si>
  <si>
    <t>Status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</si>
  <si>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</si>
  <si>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</si>
  <si>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</si>
  <si>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</si>
  <si>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</si>
  <si>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</si>
  <si>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</si>
  <si>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</si>
  <si>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</si>
  <si>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</si>
  <si>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</si>
  <si>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</si>
  <si>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</si>
  <si>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</si>
  <si>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</si>
  <si>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</si>
  <si>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</si>
  <si>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</si>
  <si>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</si>
  <si>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</si>
  <si>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</si>
  <si>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</si>
  <si>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</si>
  <si>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</si>
  <si>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</si>
  <si>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</si>
  <si>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</si>
  <si>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</si>
  <si>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</si>
  <si>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</si>
  <si>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</si>
  <si>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</si>
  <si>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</si>
  <si>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</si>
  <si>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</si>
  <si>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</si>
  <si>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</si>
  <si>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</si>
  <si>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</si>
  <si>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</si>
  <si>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</si>
  <si>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</si>
  <si>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</si>
  <si>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</si>
  <si>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</si>
  <si>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</si>
  <si>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</si>
  <si>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</si>
  <si>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</si>
  <si>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</si>
  <si>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</si>
  <si>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</si>
  <si>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</si>
  <si>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</si>
  <si>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</si>
  <si>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</si>
  <si>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</si>
  <si>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</si>
  <si>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</si>
  <si>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</si>
  <si>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</si>
  <si>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</si>
  <si>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</si>
  <si>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</si>
  <si>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</si>
  <si>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</si>
  <si>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</si>
  <si>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</si>
  <si>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</si>
  <si>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</si>
  <si>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</si>
  <si>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</si>
  <si>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</si>
  <si>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</si>
  <si>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</si>
  <si>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</si>
  <si>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</si>
  <si>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</si>
  <si>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</si>
  <si>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</si>
  <si>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</si>
  <si>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</si>
  <si>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</si>
  <si>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</si>
  <si>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</si>
  <si>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</si>
  <si>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</si>
  <si>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</si>
  <si>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</si>
  <si>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</si>
  <si>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</si>
  <si>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</si>
  <si>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</si>
  <si>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</si>
  <si>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</si>
  <si>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</si>
  <si>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</si>
  <si>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</si>
  <si>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</si>
  <si>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</si>
  <si>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Quezon City</t>
  </si>
  <si>
    <t>San Juan</t>
  </si>
  <si>
    <t>Pasig</t>
  </si>
  <si>
    <t>Taguig</t>
  </si>
  <si>
    <t>Makati</t>
  </si>
  <si>
    <t>Caloocan</t>
  </si>
  <si>
    <t>Las Piñas</t>
  </si>
  <si>
    <t>Manila</t>
  </si>
  <si>
    <t>Parañaque</t>
  </si>
  <si>
    <t>Mandaluyong</t>
  </si>
  <si>
    <t>Condo</t>
  </si>
  <si>
    <t>Apartment</t>
  </si>
  <si>
    <t>House</t>
  </si>
  <si>
    <t>Townhouse</t>
  </si>
  <si>
    <t>For Sale</t>
  </si>
  <si>
    <t>Sold</t>
  </si>
  <si>
    <t>First Questions</t>
  </si>
  <si>
    <t>How many properties are For Sale vs Sold?</t>
  </si>
  <si>
    <t>The Case Study</t>
  </si>
  <si>
    <r>
      <t xml:space="preserve">The company wants to understand </t>
    </r>
    <r>
      <rPr>
        <b/>
        <sz val="11"/>
        <color theme="1"/>
        <rFont val="Calibri"/>
        <family val="2"/>
        <scheme val="minor"/>
      </rPr>
      <t>which areas and property types</t>
    </r>
    <r>
      <rPr>
        <sz val="11"/>
        <color theme="1"/>
        <rFont val="Calibri"/>
        <family val="2"/>
        <scheme val="minor"/>
      </rPr>
      <t xml:space="preserve"> are performing best — and </t>
    </r>
    <r>
      <rPr>
        <b/>
        <sz val="11"/>
        <color theme="1"/>
        <rFont val="Calibri"/>
        <family val="2"/>
        <scheme val="minor"/>
      </rPr>
      <t>where to focus marketing or development investments</t>
    </r>
    <r>
      <rPr>
        <sz val="11"/>
        <color theme="1"/>
        <rFont val="Calibri"/>
        <family val="2"/>
        <scheme val="minor"/>
      </rPr>
      <t xml:space="preserve"> next quarter.</t>
    </r>
  </si>
  <si>
    <t>Grand Total</t>
  </si>
  <si>
    <t>Count of City</t>
  </si>
  <si>
    <t>Which property types are selling the fastest or most frequently?</t>
  </si>
  <si>
    <t>Which cities or areas have the highest sales volume?</t>
  </si>
  <si>
    <t>What is the ratio of properties for sale vs sold in each area?</t>
  </si>
  <si>
    <t>Which property type performs best in each area?</t>
  </si>
  <si>
    <t>How has sales performance changed month to month?</t>
  </si>
  <si>
    <t>Row Labels</t>
  </si>
  <si>
    <t>Column Labels</t>
  </si>
  <si>
    <t>Count of Status</t>
  </si>
  <si>
    <r>
      <t>Purpose:</t>
    </r>
    <r>
      <rPr>
        <sz val="11"/>
        <color theme="1"/>
        <rFont val="Calibri"/>
        <family val="2"/>
        <scheme val="minor"/>
      </rPr>
      <t xml:space="preserve"> Measure market saturation or demand strength by location.</t>
    </r>
  </si>
  <si>
    <r>
      <t>Purpose:</t>
    </r>
    <r>
      <rPr>
        <sz val="11"/>
        <color theme="1"/>
        <rFont val="Calibri"/>
        <family val="2"/>
        <scheme val="minor"/>
      </rPr>
      <t xml:space="preserve"> Find the most active or profitable locations for real estate sales.</t>
    </r>
  </si>
  <si>
    <r>
      <t>Purpose:</t>
    </r>
    <r>
      <rPr>
        <sz val="11"/>
        <color theme="1"/>
        <rFont val="Calibri"/>
        <family val="2"/>
        <scheme val="minor"/>
      </rPr>
      <t xml:space="preserve"> Identify which property types (House, Condo, Apartment, etc.) have the strongest market demand.</t>
    </r>
  </si>
  <si>
    <r>
      <t>Purpose:</t>
    </r>
    <r>
      <rPr>
        <sz val="11"/>
        <color theme="1"/>
        <rFont val="Calibri"/>
        <family val="2"/>
        <scheme val="minor"/>
      </rPr>
      <t xml:space="preserve"> Match property type with the area where it sells best.</t>
    </r>
  </si>
  <si>
    <r>
      <t>Purpose:</t>
    </r>
    <r>
      <rPr>
        <sz val="11"/>
        <color theme="1"/>
        <rFont val="Calibri"/>
        <family val="2"/>
        <scheme val="minor"/>
      </rPr>
      <t xml:space="preserve"> Spot trends or seasonality to time campaigns.</t>
    </r>
  </si>
  <si>
    <t>Date_sold</t>
  </si>
  <si>
    <t>Month_sold</t>
  </si>
  <si>
    <t>May</t>
  </si>
  <si>
    <t>Dec</t>
  </si>
  <si>
    <t>Nov</t>
  </si>
  <si>
    <t>Sep</t>
  </si>
  <si>
    <t>Jul</t>
  </si>
  <si>
    <t>Jan</t>
  </si>
  <si>
    <t>Oct</t>
  </si>
  <si>
    <t>Jun</t>
  </si>
  <si>
    <t>Apr</t>
  </si>
  <si>
    <t>Mar</t>
  </si>
  <si>
    <t>Aug</t>
  </si>
  <si>
    <t>Feb</t>
  </si>
  <si>
    <r>
      <t xml:space="preserve">Insight: </t>
    </r>
    <r>
      <rPr>
        <b/>
        <i/>
        <sz val="11"/>
        <color theme="1"/>
        <rFont val="Calibri"/>
        <family val="2"/>
        <scheme val="minor"/>
      </rPr>
      <t>Pasig</t>
    </r>
    <r>
      <rPr>
        <i/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>Parañaque</t>
    </r>
    <r>
      <rPr>
        <i/>
        <sz val="11"/>
        <color theme="1"/>
        <rFont val="Calibri"/>
        <family val="2"/>
        <scheme val="minor"/>
      </rPr>
      <t xml:space="preserve"> lead  with the highest values, suggesting these areas may have stronger activity or demand compared to other cities.</t>
    </r>
  </si>
  <si>
    <r>
      <t>Insight:</t>
    </r>
    <r>
      <rPr>
        <sz val="11"/>
        <color theme="1"/>
        <rFont val="Calibri"/>
        <family val="2"/>
        <scheme val="minor"/>
      </rPr>
      <t xml:space="preserve"> </t>
    </r>
    <r>
      <rPr>
        <b/>
        <i/>
        <sz val="11"/>
        <color theme="1"/>
        <rFont val="Calibri"/>
        <family val="2"/>
        <scheme val="minor"/>
      </rPr>
      <t>Pasig</t>
    </r>
    <r>
      <rPr>
        <i/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>Parañaque</t>
    </r>
    <r>
      <rPr>
        <i/>
        <sz val="11"/>
        <color theme="1"/>
        <rFont val="Calibri"/>
        <family val="2"/>
        <scheme val="minor"/>
      </rPr>
      <t xml:space="preserve"> not only have the highest total properties but also show a balanced ratio of properties for sale versus sold, indicating strong market activity in these areas.</t>
    </r>
  </si>
  <si>
    <r>
      <t>Insight: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Houses sell best overall, particularly in Parañaque and Quezon City, while apartments perform strongest in Pasig and Mandaluyong.</t>
    </r>
  </si>
  <si>
    <r>
      <t>Insight: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Sales peaked in September and stayed strong through October, while March and December showed the weakest performance.</t>
    </r>
  </si>
  <si>
    <r>
      <t xml:space="preserve">Insights: </t>
    </r>
    <r>
      <rPr>
        <i/>
        <sz val="11"/>
        <color theme="1"/>
        <rFont val="Calibri"/>
        <family val="2"/>
        <scheme val="minor"/>
      </rPr>
      <t>Houses have the highest number of sold properties overall.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</si>
</sst>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 vertical="top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14">
    <dxf>
      <alignment horizontal="left" textRotation="0" wrapText="0" indent="0" justifyLastLine="0" shrinkToFit="0" readingOrder="0"/>
    </dxf>
    <dxf>
      <numFmt numFmtId="164" formatCode="yyyy\-mm\-dd;@"/>
      <alignment horizontal="left" textRotation="0" wrapText="0" indent="0" justifyLastLine="0" shrinkToFit="0" readingOrder="0"/>
    </dxf>
    <dxf>
      <numFmt numFmtId="164" formatCode="yyyy\-mm\-dd;@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left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[Real_Estate_Market_Analysis.xlsx]Q1_Property_Type_Performance!PivotTable2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Q1_Property_Type_Performance!$C$4:$C$5</c:f>
              <c:strCache>
                <c:ptCount val="1"/>
                <c:pt idx="0">
                  <c:v>For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Q1_Property_Type_Performance!$B$6:$B$10</c:f>
              <c:strCache>
                <c:ptCount val="4"/>
                <c:pt idx="0">
                  <c:v>Apartment</c:v>
                </c:pt>
                <c:pt idx="1">
                  <c:v>Condo</c:v>
                </c:pt>
                <c:pt idx="2">
                  <c:v>House</c:v>
                </c:pt>
                <c:pt idx="3">
                  <c:v>Townhouse</c:v>
                </c:pt>
              </c:strCache>
            </c:strRef>
          </c:cat>
          <c:val>
            <c:numRef>
              <c:f>Q1_Property_Type_Performance!$C$6:$C$10</c:f>
              <c:numCache>
                <c:formatCode>General</c:formatCode>
                <c:ptCount val="4"/>
                <c:pt idx="0">
                  <c:v>14</c:v>
                </c:pt>
                <c:pt idx="1">
                  <c:v>13</c:v>
                </c:pt>
                <c:pt idx="2">
                  <c:v>12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CC-4E57-895E-BC32A05D9742}"/>
            </c:ext>
          </c:extLst>
        </c:ser>
        <c:ser>
          <c:idx val="1"/>
          <c:order val="1"/>
          <c:tx>
            <c:strRef>
              <c:f>Q1_Property_Type_Performance!$D$4:$D$5</c:f>
              <c:strCache>
                <c:ptCount val="1"/>
                <c:pt idx="0">
                  <c:v>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Q1_Property_Type_Performance!$B$6:$B$10</c:f>
              <c:strCache>
                <c:ptCount val="4"/>
                <c:pt idx="0">
                  <c:v>Apartment</c:v>
                </c:pt>
                <c:pt idx="1">
                  <c:v>Condo</c:v>
                </c:pt>
                <c:pt idx="2">
                  <c:v>House</c:v>
                </c:pt>
                <c:pt idx="3">
                  <c:v>Townhouse</c:v>
                </c:pt>
              </c:strCache>
            </c:strRef>
          </c:cat>
          <c:val>
            <c:numRef>
              <c:f>Q1_Property_Type_Performance!$D$6:$D$10</c:f>
              <c:numCache>
                <c:formatCode>General</c:formatCode>
                <c:ptCount val="4"/>
                <c:pt idx="0">
                  <c:v>13</c:v>
                </c:pt>
                <c:pt idx="1">
                  <c:v>9</c:v>
                </c:pt>
                <c:pt idx="2">
                  <c:v>16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CC-4E57-895E-BC32A05D9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2919872"/>
        <c:axId val="1662938112"/>
      </c:barChart>
      <c:catAx>
        <c:axId val="166291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38112"/>
        <c:crosses val="autoZero"/>
        <c:auto val="1"/>
        <c:lblAlgn val="ctr"/>
        <c:lblOffset val="100"/>
        <c:noMultiLvlLbl val="0"/>
      </c:catAx>
      <c:valAx>
        <c:axId val="1662938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19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[Real_Estate_Market_Analysis.xlsx]Q2_Top_Cities_By_Sales!PivotTable3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Q2_Top_Cities_By_Sales!$C$4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Q2_Top_Cities_By_Sales!$B$5:$B$15</c:f>
              <c:strCache>
                <c:ptCount val="10"/>
                <c:pt idx="0">
                  <c:v>Caloocan</c:v>
                </c:pt>
                <c:pt idx="1">
                  <c:v>Las Piñas</c:v>
                </c:pt>
                <c:pt idx="2">
                  <c:v>Makati</c:v>
                </c:pt>
                <c:pt idx="3">
                  <c:v>Mandaluyong</c:v>
                </c:pt>
                <c:pt idx="4">
                  <c:v>Manila</c:v>
                </c:pt>
                <c:pt idx="5">
                  <c:v>Parañaque</c:v>
                </c:pt>
                <c:pt idx="6">
                  <c:v>Pasig</c:v>
                </c:pt>
                <c:pt idx="7">
                  <c:v>Quezon City</c:v>
                </c:pt>
                <c:pt idx="8">
                  <c:v>San Juan</c:v>
                </c:pt>
                <c:pt idx="9">
                  <c:v>Taguig</c:v>
                </c:pt>
              </c:strCache>
            </c:strRef>
          </c:cat>
          <c:val>
            <c:numRef>
              <c:f>Q2_Top_Cities_By_Sales!$C$5:$C$15</c:f>
              <c:numCache>
                <c:formatCode>General</c:formatCode>
                <c:ptCount val="10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6</c:v>
                </c:pt>
                <c:pt idx="4">
                  <c:v>11</c:v>
                </c:pt>
                <c:pt idx="5">
                  <c:v>15</c:v>
                </c:pt>
                <c:pt idx="6">
                  <c:v>16</c:v>
                </c:pt>
                <c:pt idx="7">
                  <c:v>10</c:v>
                </c:pt>
                <c:pt idx="8">
                  <c:v>10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9-43B4-809C-1D98B62E1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62970752"/>
        <c:axId val="1662979392"/>
      </c:barChart>
      <c:catAx>
        <c:axId val="1662970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79392"/>
        <c:crosses val="autoZero"/>
        <c:auto val="1"/>
        <c:lblAlgn val="ctr"/>
        <c:lblOffset val="100"/>
        <c:noMultiLvlLbl val="0"/>
      </c:catAx>
      <c:valAx>
        <c:axId val="166297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29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[Real_Estate_Market_Analysis.xlsx]Q3_Sale_vs_Sold_Ratio_By_Area!PivotTable4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Q3_Sale_vs_Sold_Ratio_By_Area!$C$4:$C$5</c:f>
              <c:strCache>
                <c:ptCount val="1"/>
                <c:pt idx="0">
                  <c:v>For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Q3_Sale_vs_Sold_Ratio_By_Area!$B$6:$B$16</c:f>
              <c:strCache>
                <c:ptCount val="10"/>
                <c:pt idx="0">
                  <c:v>Caloocan</c:v>
                </c:pt>
                <c:pt idx="1">
                  <c:v>Las Piñas</c:v>
                </c:pt>
                <c:pt idx="2">
                  <c:v>Makati</c:v>
                </c:pt>
                <c:pt idx="3">
                  <c:v>Mandaluyong</c:v>
                </c:pt>
                <c:pt idx="4">
                  <c:v>Manila</c:v>
                </c:pt>
                <c:pt idx="5">
                  <c:v>Parañaque</c:v>
                </c:pt>
                <c:pt idx="6">
                  <c:v>Pasig</c:v>
                </c:pt>
                <c:pt idx="7">
                  <c:v>Quezon City</c:v>
                </c:pt>
                <c:pt idx="8">
                  <c:v>San Juan</c:v>
                </c:pt>
                <c:pt idx="9">
                  <c:v>Taguig</c:v>
                </c:pt>
              </c:strCache>
            </c:strRef>
          </c:cat>
          <c:val>
            <c:numRef>
              <c:f>Q3_Sale_vs_Sold_Ratio_By_Area!$C$6:$C$16</c:f>
              <c:numCache>
                <c:formatCode>General</c:formatCode>
                <c:ptCount val="10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9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A-41D3-94CD-432878931141}"/>
            </c:ext>
          </c:extLst>
        </c:ser>
        <c:ser>
          <c:idx val="1"/>
          <c:order val="1"/>
          <c:tx>
            <c:strRef>
              <c:f>Q3_Sale_vs_Sold_Ratio_By_Area!$D$4:$D$5</c:f>
              <c:strCache>
                <c:ptCount val="1"/>
                <c:pt idx="0">
                  <c:v>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Q3_Sale_vs_Sold_Ratio_By_Area!$B$6:$B$16</c:f>
              <c:strCache>
                <c:ptCount val="10"/>
                <c:pt idx="0">
                  <c:v>Caloocan</c:v>
                </c:pt>
                <c:pt idx="1">
                  <c:v>Las Piñas</c:v>
                </c:pt>
                <c:pt idx="2">
                  <c:v>Makati</c:v>
                </c:pt>
                <c:pt idx="3">
                  <c:v>Mandaluyong</c:v>
                </c:pt>
                <c:pt idx="4">
                  <c:v>Manila</c:v>
                </c:pt>
                <c:pt idx="5">
                  <c:v>Parañaque</c:v>
                </c:pt>
                <c:pt idx="6">
                  <c:v>Pasig</c:v>
                </c:pt>
                <c:pt idx="7">
                  <c:v>Quezon City</c:v>
                </c:pt>
                <c:pt idx="8">
                  <c:v>San Juan</c:v>
                </c:pt>
                <c:pt idx="9">
                  <c:v>Taguig</c:v>
                </c:pt>
              </c:strCache>
            </c:strRef>
          </c:cat>
          <c:val>
            <c:numRef>
              <c:f>Q3_Sale_vs_Sold_Ratio_By_Area!$D$6:$D$16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A-41D3-94CD-432878931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4618064"/>
        <c:axId val="1874610864"/>
      </c:barChart>
      <c:catAx>
        <c:axId val="18746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10864"/>
        <c:crosses val="autoZero"/>
        <c:auto val="1"/>
        <c:lblAlgn val="ctr"/>
        <c:lblOffset val="100"/>
        <c:noMultiLvlLbl val="0"/>
      </c:catAx>
      <c:valAx>
        <c:axId val="187461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6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[Real_Estate_Market_Analysis.xlsx]Q5_Sales_Trends!PivotTable6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Q5_Sales_Trends!$C$4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Q5_Sales_Trends!$B$5:$B$17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Q5_Sales_Trends!$C$5:$C$17</c:f>
              <c:numCache>
                <c:formatCode>General</c:formatCode>
                <c:ptCount val="12"/>
                <c:pt idx="0">
                  <c:v>10</c:v>
                </c:pt>
                <c:pt idx="1">
                  <c:v>10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9</c:v>
                </c:pt>
                <c:pt idx="10">
                  <c:v>10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192-44FC-93C9-CE011B395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874480"/>
        <c:axId val="44880720"/>
      </c:lineChart>
      <c:catAx>
        <c:axId val="44874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80720"/>
        <c:crosses val="autoZero"/>
        <c:auto val="1"/>
        <c:lblAlgn val="ctr"/>
        <c:lblOffset val="100"/>
        <c:noMultiLvlLbl val="0"/>
      </c:catAx>
      <c:valAx>
        <c:axId val="4488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7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2</xdr:row>
      <xdr:rowOff>179070</xdr:rowOff>
    </xdr:from>
    <xdr:to>
      <xdr:col>12</xdr:col>
      <xdr:colOff>510540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14E147-7487-20D5-0C71-F433A1EEC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179070</xdr:rowOff>
    </xdr:from>
    <xdr:to>
      <xdr:col>11</xdr:col>
      <xdr:colOff>304800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ADF083-FD8F-C21B-7DC7-BFD8594ED5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198120</xdr:colOff>
      <xdr:row>3</xdr:row>
      <xdr:rowOff>3810</xdr:rowOff>
    </xdr:from>
    <xdr:to>
      <xdr:col>12</xdr:col>
      <xdr:colOff>502920</xdr:colOff>
      <xdr:row>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B061A5-4354-E161-3A25-C97DC5EC7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245533</xdr:colOff>
      <xdr:row>2</xdr:row>
      <xdr:rowOff>169333</xdr:rowOff>
    </xdr:from>
    <xdr:to>
      <xdr:col>11</xdr:col>
      <xdr:colOff>101599</xdr:colOff>
      <xdr:row>17</xdr:row>
      <xdr:rowOff>118533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658E3A-8E10-4176-D1DD-36D29B573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itor" refreshedDate="45973.896810532409" createdVersion="8" refreshedVersion="8" minRefreshableVersion="3" recordCount="100" xr:uid="{EC05B676-ED62-4CCF-A947-8189DDB88F09}">
  <cacheSource type="worksheet">
    <worksheetSource name="Table1"/>
  </cacheSource>
  <cacheFields count="10">
    <cacheField name="Property_ID" numFmtId="0">
      <sharedItems/>
    </cacheField>
    <cacheField name="City" numFmtId="0">
      <sharedItems count="10">
        <s v="Quezon City"/>
        <s v="San Juan"/>
        <s v="Pasig"/>
        <s v="Taguig"/>
        <s v="Makati"/>
        <s v="Caloocan"/>
        <s v="Las Piñas"/>
        <s v="Manila"/>
        <s v="Parañaque"/>
        <s v="Mandaluyong"/>
      </sharedItems>
    </cacheField>
    <cacheField name="Property_Type" numFmtId="0">
      <sharedItems count="4">
        <s v="Condo"/>
        <s v="Apartment"/>
        <s v="House"/>
        <s v="Townhouse"/>
      </sharedItems>
    </cacheField>
    <cacheField name="Area_sqm" numFmtId="0">
      <sharedItems containsSemiMixedTypes="0" containsString="0" containsNumber="1" containsInteger="1" minValue="30" maxValue="200"/>
    </cacheField>
    <cacheField name="Bedrooms" numFmtId="0">
      <sharedItems containsSemiMixedTypes="0" containsString="0" containsNumber="1" containsInteger="1" minValue="1" maxValue="5"/>
    </cacheField>
    <cacheField name="Price_PHP" numFmtId="0">
      <sharedItems containsSemiMixedTypes="0" containsString="0" containsNumber="1" containsInteger="1" minValue="2799510" maxValue="22167800"/>
    </cacheField>
    <cacheField name="Year_Built" numFmtId="0">
      <sharedItems containsSemiMixedTypes="0" containsString="0" containsNumber="1" containsInteger="1" minValue="2005" maxValue="2023"/>
    </cacheField>
    <cacheField name="Date_sold" numFmtId="164">
      <sharedItems containsSemiMixedTypes="0" containsNonDate="0" containsDate="1" containsString="0" minDate="2005-02-09T00:00:00" maxDate="2023-11-05T00:00:00"/>
    </cacheField>
    <cacheField name="Month_sold" numFmtId="164">
      <sharedItems count="12">
        <s v="Sep"/>
        <s v="May"/>
        <s v="Jan"/>
        <s v="Nov"/>
        <s v="Oct"/>
        <s v="Feb"/>
        <s v="Apr"/>
        <s v="Jul"/>
        <s v="Aug"/>
        <s v="Jun"/>
        <s v="Mar"/>
        <s v="Dec"/>
      </sharedItems>
    </cacheField>
    <cacheField name="Status" numFmtId="0">
      <sharedItems count="2">
        <s v="For Sale"/>
        <s v="S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P001"/>
    <x v="0"/>
    <x v="0"/>
    <n v="100"/>
    <n v="2"/>
    <n v="8462800"/>
    <n v="2009"/>
    <d v="2009-09-03T00:00:00"/>
    <x v="0"/>
    <x v="0"/>
  </r>
  <r>
    <s v="P002"/>
    <x v="1"/>
    <x v="0"/>
    <n v="181"/>
    <n v="4"/>
    <n v="13046842"/>
    <n v="2005"/>
    <d v="2005-09-21T00:00:00"/>
    <x v="0"/>
    <x v="0"/>
  </r>
  <r>
    <s v="P003"/>
    <x v="2"/>
    <x v="1"/>
    <n v="159"/>
    <n v="5"/>
    <n v="11406501"/>
    <n v="2022"/>
    <d v="2022-09-28T00:00:00"/>
    <x v="0"/>
    <x v="0"/>
  </r>
  <r>
    <s v="P004"/>
    <x v="1"/>
    <x v="2"/>
    <n v="86"/>
    <n v="4"/>
    <n v="9341148"/>
    <n v="2013"/>
    <d v="2013-05-24T00:00:00"/>
    <x v="1"/>
    <x v="0"/>
  </r>
  <r>
    <s v="P005"/>
    <x v="3"/>
    <x v="2"/>
    <n v="117"/>
    <n v="3"/>
    <n v="9382113"/>
    <n v="2011"/>
    <d v="2011-01-26T00:00:00"/>
    <x v="2"/>
    <x v="1"/>
  </r>
  <r>
    <s v="P006"/>
    <x v="0"/>
    <x v="0"/>
    <n v="127"/>
    <n v="1"/>
    <n v="11877802"/>
    <n v="2016"/>
    <d v="2016-11-09T00:00:00"/>
    <x v="3"/>
    <x v="1"/>
  </r>
  <r>
    <s v="P007"/>
    <x v="4"/>
    <x v="2"/>
    <n v="167"/>
    <n v="1"/>
    <n v="15832769"/>
    <n v="2007"/>
    <d v="2007-10-07T00:00:00"/>
    <x v="4"/>
    <x v="1"/>
  </r>
  <r>
    <s v="P008"/>
    <x v="5"/>
    <x v="3"/>
    <n v="177"/>
    <n v="2"/>
    <n v="20562798"/>
    <n v="2007"/>
    <d v="2007-11-26T00:00:00"/>
    <x v="3"/>
    <x v="0"/>
  </r>
  <r>
    <s v="P009"/>
    <x v="2"/>
    <x v="3"/>
    <n v="50"/>
    <n v="2"/>
    <n v="3830950"/>
    <n v="2017"/>
    <d v="2017-01-11T00:00:00"/>
    <x v="2"/>
    <x v="1"/>
  </r>
  <r>
    <s v="P010"/>
    <x v="6"/>
    <x v="3"/>
    <n v="71"/>
    <n v="3"/>
    <n v="6623093"/>
    <n v="2011"/>
    <d v="2011-02-03T00:00:00"/>
    <x v="5"/>
    <x v="1"/>
  </r>
  <r>
    <s v="P011"/>
    <x v="0"/>
    <x v="1"/>
    <n v="166"/>
    <n v="2"/>
    <n v="13397528"/>
    <n v="2019"/>
    <d v="2019-01-23T00:00:00"/>
    <x v="2"/>
    <x v="1"/>
  </r>
  <r>
    <s v="P012"/>
    <x v="7"/>
    <x v="1"/>
    <n v="113"/>
    <n v="1"/>
    <n v="9606130"/>
    <n v="2006"/>
    <d v="2006-09-10T00:00:00"/>
    <x v="0"/>
    <x v="1"/>
  </r>
  <r>
    <s v="P013"/>
    <x v="8"/>
    <x v="3"/>
    <n v="46"/>
    <n v="2"/>
    <n v="4929820"/>
    <n v="2015"/>
    <d v="2015-04-06T00:00:00"/>
    <x v="6"/>
    <x v="0"/>
  </r>
  <r>
    <s v="P014"/>
    <x v="6"/>
    <x v="2"/>
    <n v="194"/>
    <n v="4"/>
    <n v="15396422"/>
    <n v="2013"/>
    <d v="2013-07-18T00:00:00"/>
    <x v="7"/>
    <x v="0"/>
  </r>
  <r>
    <s v="P015"/>
    <x v="2"/>
    <x v="3"/>
    <n v="179"/>
    <n v="4"/>
    <n v="19375318"/>
    <n v="2017"/>
    <d v="2017-07-23T00:00:00"/>
    <x v="7"/>
    <x v="1"/>
  </r>
  <r>
    <s v="P016"/>
    <x v="2"/>
    <x v="1"/>
    <n v="160"/>
    <n v="4"/>
    <n v="12153120"/>
    <n v="2006"/>
    <d v="2006-10-08T00:00:00"/>
    <x v="4"/>
    <x v="0"/>
  </r>
  <r>
    <s v="P017"/>
    <x v="3"/>
    <x v="1"/>
    <n v="138"/>
    <n v="5"/>
    <n v="10234494"/>
    <n v="2017"/>
    <d v="2017-01-27T00:00:00"/>
    <x v="2"/>
    <x v="1"/>
  </r>
  <r>
    <s v="P018"/>
    <x v="5"/>
    <x v="2"/>
    <n v="165"/>
    <n v="3"/>
    <n v="17532240"/>
    <n v="2005"/>
    <d v="2005-08-20T00:00:00"/>
    <x v="8"/>
    <x v="0"/>
  </r>
  <r>
    <s v="P019"/>
    <x v="1"/>
    <x v="3"/>
    <n v="194"/>
    <n v="3"/>
    <n v="14998140"/>
    <n v="2014"/>
    <d v="2014-08-21T00:00:00"/>
    <x v="8"/>
    <x v="1"/>
  </r>
  <r>
    <s v="P020"/>
    <x v="3"/>
    <x v="2"/>
    <n v="30"/>
    <n v="3"/>
    <n v="3084180"/>
    <n v="2010"/>
    <d v="2010-02-08T00:00:00"/>
    <x v="5"/>
    <x v="0"/>
  </r>
  <r>
    <s v="P021"/>
    <x v="7"/>
    <x v="1"/>
    <n v="69"/>
    <n v="3"/>
    <n v="8277999"/>
    <n v="2010"/>
    <d v="2010-11-04T00:00:00"/>
    <x v="3"/>
    <x v="0"/>
  </r>
  <r>
    <s v="P022"/>
    <x v="5"/>
    <x v="3"/>
    <n v="155"/>
    <n v="1"/>
    <n v="11986305"/>
    <n v="2016"/>
    <d v="2016-07-04T00:00:00"/>
    <x v="7"/>
    <x v="1"/>
  </r>
  <r>
    <s v="P023"/>
    <x v="2"/>
    <x v="0"/>
    <n v="91"/>
    <n v="5"/>
    <n v="6839651"/>
    <n v="2007"/>
    <d v="2007-02-06T00:00:00"/>
    <x v="5"/>
    <x v="1"/>
  </r>
  <r>
    <s v="P024"/>
    <x v="0"/>
    <x v="1"/>
    <n v="62"/>
    <n v="4"/>
    <n v="6573922"/>
    <n v="2010"/>
    <d v="2010-11-26T00:00:00"/>
    <x v="3"/>
    <x v="1"/>
  </r>
  <r>
    <s v="P025"/>
    <x v="1"/>
    <x v="2"/>
    <n v="84"/>
    <n v="5"/>
    <n v="10037748"/>
    <n v="2011"/>
    <d v="2011-06-26T00:00:00"/>
    <x v="9"/>
    <x v="1"/>
  </r>
  <r>
    <s v="P026"/>
    <x v="8"/>
    <x v="3"/>
    <n v="142"/>
    <n v="5"/>
    <n v="14141496"/>
    <n v="2008"/>
    <d v="2008-03-15T00:00:00"/>
    <x v="10"/>
    <x v="0"/>
  </r>
  <r>
    <s v="P027"/>
    <x v="2"/>
    <x v="0"/>
    <n v="116"/>
    <n v="1"/>
    <n v="12592380"/>
    <n v="2022"/>
    <d v="2022-04-12T00:00:00"/>
    <x v="6"/>
    <x v="0"/>
  </r>
  <r>
    <s v="P028"/>
    <x v="5"/>
    <x v="1"/>
    <n v="31"/>
    <n v="1"/>
    <n v="3608059"/>
    <n v="2006"/>
    <d v="2006-12-05T00:00:00"/>
    <x v="11"/>
    <x v="0"/>
  </r>
  <r>
    <s v="P029"/>
    <x v="0"/>
    <x v="0"/>
    <n v="114"/>
    <n v="1"/>
    <n v="11821230"/>
    <n v="2012"/>
    <d v="2012-08-10T00:00:00"/>
    <x v="8"/>
    <x v="1"/>
  </r>
  <r>
    <s v="P030"/>
    <x v="6"/>
    <x v="1"/>
    <n v="168"/>
    <n v="2"/>
    <n v="19724040"/>
    <n v="2023"/>
    <d v="2023-07-21T00:00:00"/>
    <x v="7"/>
    <x v="1"/>
  </r>
  <r>
    <s v="P031"/>
    <x v="2"/>
    <x v="2"/>
    <n v="134"/>
    <n v="2"/>
    <n v="10208254"/>
    <n v="2008"/>
    <d v="2008-02-16T00:00:00"/>
    <x v="5"/>
    <x v="1"/>
  </r>
  <r>
    <s v="P032"/>
    <x v="9"/>
    <x v="2"/>
    <n v="135"/>
    <n v="4"/>
    <n v="15900300"/>
    <n v="2006"/>
    <d v="2006-05-10T00:00:00"/>
    <x v="1"/>
    <x v="0"/>
  </r>
  <r>
    <s v="P033"/>
    <x v="4"/>
    <x v="2"/>
    <n v="116"/>
    <n v="1"/>
    <n v="10010220"/>
    <n v="2011"/>
    <d v="2011-07-13T00:00:00"/>
    <x v="7"/>
    <x v="0"/>
  </r>
  <r>
    <s v="P034"/>
    <x v="1"/>
    <x v="2"/>
    <n v="65"/>
    <n v="4"/>
    <n v="5331625"/>
    <n v="2013"/>
    <d v="2013-05-08T00:00:00"/>
    <x v="1"/>
    <x v="1"/>
  </r>
  <r>
    <s v="P035"/>
    <x v="2"/>
    <x v="0"/>
    <n v="143"/>
    <n v="5"/>
    <n v="10927488"/>
    <n v="2006"/>
    <d v="2006-09-02T00:00:00"/>
    <x v="0"/>
    <x v="0"/>
  </r>
  <r>
    <s v="P036"/>
    <x v="0"/>
    <x v="1"/>
    <n v="72"/>
    <n v="4"/>
    <n v="7331472"/>
    <n v="2020"/>
    <d v="2020-07-05T00:00:00"/>
    <x v="7"/>
    <x v="0"/>
  </r>
  <r>
    <s v="P037"/>
    <x v="8"/>
    <x v="0"/>
    <n v="72"/>
    <n v="4"/>
    <n v="5050152"/>
    <n v="2017"/>
    <d v="2017-04-12T00:00:00"/>
    <x v="6"/>
    <x v="1"/>
  </r>
  <r>
    <s v="P038"/>
    <x v="6"/>
    <x v="3"/>
    <n v="138"/>
    <n v="5"/>
    <n v="15645888"/>
    <n v="2020"/>
    <d v="2020-12-09T00:00:00"/>
    <x v="11"/>
    <x v="0"/>
  </r>
  <r>
    <s v="P039"/>
    <x v="2"/>
    <x v="3"/>
    <n v="85"/>
    <n v="1"/>
    <n v="9176345"/>
    <n v="2022"/>
    <d v="2022-05-21T00:00:00"/>
    <x v="1"/>
    <x v="0"/>
  </r>
  <r>
    <s v="P040"/>
    <x v="9"/>
    <x v="0"/>
    <n v="42"/>
    <n v="5"/>
    <n v="4252332"/>
    <n v="2021"/>
    <d v="2021-04-17T00:00:00"/>
    <x v="6"/>
    <x v="0"/>
  </r>
  <r>
    <s v="P041"/>
    <x v="4"/>
    <x v="0"/>
    <n v="77"/>
    <n v="1"/>
    <n v="8392692"/>
    <n v="2007"/>
    <d v="2007-08-11T00:00:00"/>
    <x v="8"/>
    <x v="0"/>
  </r>
  <r>
    <s v="P042"/>
    <x v="8"/>
    <x v="0"/>
    <n v="175"/>
    <n v="2"/>
    <n v="18889500"/>
    <n v="2006"/>
    <d v="2006-01-22T00:00:00"/>
    <x v="2"/>
    <x v="0"/>
  </r>
  <r>
    <s v="P043"/>
    <x v="8"/>
    <x v="3"/>
    <n v="96"/>
    <n v="2"/>
    <n v="10933536"/>
    <n v="2015"/>
    <d v="2015-04-23T00:00:00"/>
    <x v="6"/>
    <x v="0"/>
  </r>
  <r>
    <s v="P044"/>
    <x v="7"/>
    <x v="2"/>
    <n v="63"/>
    <n v="3"/>
    <n v="6297732"/>
    <n v="2015"/>
    <d v="2015-07-16T00:00:00"/>
    <x v="7"/>
    <x v="0"/>
  </r>
  <r>
    <s v="P045"/>
    <x v="4"/>
    <x v="2"/>
    <n v="189"/>
    <n v="5"/>
    <n v="14468328"/>
    <n v="2007"/>
    <d v="2007-03-06T00:00:00"/>
    <x v="10"/>
    <x v="0"/>
  </r>
  <r>
    <s v="P046"/>
    <x v="1"/>
    <x v="3"/>
    <n v="63"/>
    <n v="3"/>
    <n v="4694004"/>
    <n v="2012"/>
    <d v="2012-08-17T00:00:00"/>
    <x v="8"/>
    <x v="1"/>
  </r>
  <r>
    <s v="P047"/>
    <x v="7"/>
    <x v="1"/>
    <n v="142"/>
    <n v="5"/>
    <n v="16487194"/>
    <n v="2014"/>
    <d v="2014-06-11T00:00:00"/>
    <x v="9"/>
    <x v="0"/>
  </r>
  <r>
    <s v="P048"/>
    <x v="1"/>
    <x v="3"/>
    <n v="199"/>
    <n v="1"/>
    <n v="15681200"/>
    <n v="2013"/>
    <d v="2013-09-24T00:00:00"/>
    <x v="0"/>
    <x v="0"/>
  </r>
  <r>
    <s v="P049"/>
    <x v="0"/>
    <x v="1"/>
    <n v="99"/>
    <n v="3"/>
    <n v="10854162"/>
    <n v="2011"/>
    <d v="2011-08-04T00:00:00"/>
    <x v="8"/>
    <x v="1"/>
  </r>
  <r>
    <s v="P050"/>
    <x v="2"/>
    <x v="3"/>
    <n v="159"/>
    <n v="4"/>
    <n v="13746663"/>
    <n v="2006"/>
    <d v="2006-10-26T00:00:00"/>
    <x v="4"/>
    <x v="0"/>
  </r>
  <r>
    <s v="P051"/>
    <x v="8"/>
    <x v="3"/>
    <n v="41"/>
    <n v="1"/>
    <n v="3766219"/>
    <n v="2009"/>
    <d v="2009-01-28T00:00:00"/>
    <x v="2"/>
    <x v="1"/>
  </r>
  <r>
    <s v="P052"/>
    <x v="3"/>
    <x v="2"/>
    <n v="171"/>
    <n v="4"/>
    <n v="18255789"/>
    <n v="2005"/>
    <d v="2005-02-09T00:00:00"/>
    <x v="5"/>
    <x v="0"/>
  </r>
  <r>
    <s v="P053"/>
    <x v="0"/>
    <x v="1"/>
    <n v="169"/>
    <n v="1"/>
    <n v="15919124"/>
    <n v="2023"/>
    <d v="2023-09-25T00:00:00"/>
    <x v="0"/>
    <x v="0"/>
  </r>
  <r>
    <s v="P054"/>
    <x v="8"/>
    <x v="1"/>
    <n v="40"/>
    <n v="3"/>
    <n v="3755880"/>
    <n v="2006"/>
    <d v="2006-08-01T00:00:00"/>
    <x v="8"/>
    <x v="1"/>
  </r>
  <r>
    <s v="P055"/>
    <x v="2"/>
    <x v="1"/>
    <n v="200"/>
    <n v="1"/>
    <n v="18635600"/>
    <n v="2022"/>
    <d v="2022-10-07T00:00:00"/>
    <x v="4"/>
    <x v="1"/>
  </r>
  <r>
    <s v="P056"/>
    <x v="5"/>
    <x v="1"/>
    <n v="90"/>
    <n v="2"/>
    <n v="7344270"/>
    <n v="2018"/>
    <d v="2018-02-05T00:00:00"/>
    <x v="5"/>
    <x v="0"/>
  </r>
  <r>
    <s v="P057"/>
    <x v="3"/>
    <x v="3"/>
    <n v="135"/>
    <n v="2"/>
    <n v="11810475"/>
    <n v="2010"/>
    <d v="2010-11-03T00:00:00"/>
    <x v="3"/>
    <x v="0"/>
  </r>
  <r>
    <s v="P058"/>
    <x v="8"/>
    <x v="0"/>
    <n v="150"/>
    <n v="2"/>
    <n v="12461850"/>
    <n v="2019"/>
    <d v="2019-02-09T00:00:00"/>
    <x v="5"/>
    <x v="1"/>
  </r>
  <r>
    <s v="P059"/>
    <x v="7"/>
    <x v="1"/>
    <n v="87"/>
    <n v="1"/>
    <n v="9853185"/>
    <n v="2011"/>
    <d v="2011-06-27T00:00:00"/>
    <x v="9"/>
    <x v="1"/>
  </r>
  <r>
    <s v="P060"/>
    <x v="9"/>
    <x v="3"/>
    <n v="47"/>
    <n v="3"/>
    <n v="4371564"/>
    <n v="2021"/>
    <d v="2021-02-15T00:00:00"/>
    <x v="5"/>
    <x v="1"/>
  </r>
  <r>
    <s v="P061"/>
    <x v="1"/>
    <x v="3"/>
    <n v="37"/>
    <n v="1"/>
    <n v="3223366"/>
    <n v="2010"/>
    <d v="2010-04-09T00:00:00"/>
    <x v="6"/>
    <x v="1"/>
  </r>
  <r>
    <s v="P062"/>
    <x v="4"/>
    <x v="0"/>
    <n v="182"/>
    <n v="4"/>
    <n v="16863028"/>
    <n v="2015"/>
    <d v="2015-03-26T00:00:00"/>
    <x v="10"/>
    <x v="1"/>
  </r>
  <r>
    <s v="P063"/>
    <x v="5"/>
    <x v="0"/>
    <n v="128"/>
    <n v="5"/>
    <n v="10554496"/>
    <n v="2013"/>
    <d v="2013-08-01T00:00:00"/>
    <x v="8"/>
    <x v="0"/>
  </r>
  <r>
    <s v="P064"/>
    <x v="8"/>
    <x v="0"/>
    <n v="163"/>
    <n v="5"/>
    <n v="18747119"/>
    <n v="2011"/>
    <d v="2011-05-16T00:00:00"/>
    <x v="1"/>
    <x v="1"/>
  </r>
  <r>
    <s v="P065"/>
    <x v="8"/>
    <x v="0"/>
    <n v="200"/>
    <n v="3"/>
    <n v="22167800"/>
    <n v="2015"/>
    <d v="2015-09-14T00:00:00"/>
    <x v="0"/>
    <x v="0"/>
  </r>
  <r>
    <s v="P066"/>
    <x v="7"/>
    <x v="3"/>
    <n v="200"/>
    <n v="4"/>
    <n v="18275200"/>
    <n v="2017"/>
    <d v="2017-07-15T00:00:00"/>
    <x v="7"/>
    <x v="1"/>
  </r>
  <r>
    <s v="P067"/>
    <x v="1"/>
    <x v="1"/>
    <n v="79"/>
    <n v="4"/>
    <n v="8972504"/>
    <n v="2017"/>
    <d v="2017-07-23T00:00:00"/>
    <x v="7"/>
    <x v="0"/>
  </r>
  <r>
    <s v="P068"/>
    <x v="5"/>
    <x v="3"/>
    <n v="133"/>
    <n v="5"/>
    <n v="9313458"/>
    <n v="2014"/>
    <d v="2014-09-12T00:00:00"/>
    <x v="0"/>
    <x v="1"/>
  </r>
  <r>
    <s v="P069"/>
    <x v="2"/>
    <x v="2"/>
    <n v="178"/>
    <n v="5"/>
    <n v="20097268"/>
    <n v="2015"/>
    <d v="2015-01-26T00:00:00"/>
    <x v="2"/>
    <x v="1"/>
  </r>
  <r>
    <s v="P070"/>
    <x v="6"/>
    <x v="2"/>
    <n v="84"/>
    <n v="5"/>
    <n v="8484840"/>
    <n v="2010"/>
    <d v="2010-08-23T00:00:00"/>
    <x v="8"/>
    <x v="0"/>
  </r>
  <r>
    <s v="P071"/>
    <x v="7"/>
    <x v="3"/>
    <n v="53"/>
    <n v="2"/>
    <n v="6046876"/>
    <n v="2014"/>
    <d v="2014-10-03T00:00:00"/>
    <x v="4"/>
    <x v="0"/>
  </r>
  <r>
    <s v="P072"/>
    <x v="2"/>
    <x v="1"/>
    <n v="36"/>
    <n v="1"/>
    <n v="3097656"/>
    <n v="2020"/>
    <d v="2020-05-14T00:00:00"/>
    <x v="1"/>
    <x v="0"/>
  </r>
  <r>
    <s v="P073"/>
    <x v="6"/>
    <x v="2"/>
    <n v="191"/>
    <n v="5"/>
    <n v="15803722"/>
    <n v="2017"/>
    <d v="2017-06-25T00:00:00"/>
    <x v="9"/>
    <x v="1"/>
  </r>
  <r>
    <s v="P074"/>
    <x v="8"/>
    <x v="1"/>
    <n v="67"/>
    <n v="1"/>
    <n v="7987405"/>
    <n v="2008"/>
    <d v="2008-11-27T00:00:00"/>
    <x v="3"/>
    <x v="1"/>
  </r>
  <r>
    <s v="P075"/>
    <x v="2"/>
    <x v="1"/>
    <n v="162"/>
    <n v="4"/>
    <n v="11873142"/>
    <n v="2022"/>
    <d v="2022-01-19T00:00:00"/>
    <x v="2"/>
    <x v="0"/>
  </r>
  <r>
    <s v="P076"/>
    <x v="0"/>
    <x v="2"/>
    <n v="64"/>
    <n v="4"/>
    <n v="7280000"/>
    <n v="2021"/>
    <d v="2021-05-07T00:00:00"/>
    <x v="1"/>
    <x v="1"/>
  </r>
  <r>
    <s v="P077"/>
    <x v="6"/>
    <x v="2"/>
    <n v="170"/>
    <n v="4"/>
    <n v="13673100"/>
    <n v="2020"/>
    <d v="2020-12-04T00:00:00"/>
    <x v="11"/>
    <x v="1"/>
  </r>
  <r>
    <s v="P078"/>
    <x v="7"/>
    <x v="1"/>
    <n v="193"/>
    <n v="3"/>
    <n v="20103459"/>
    <n v="2020"/>
    <d v="2020-11-12T00:00:00"/>
    <x v="3"/>
    <x v="0"/>
  </r>
  <r>
    <s v="P079"/>
    <x v="7"/>
    <x v="2"/>
    <n v="49"/>
    <n v="3"/>
    <n v="4182983"/>
    <n v="2013"/>
    <d v="2013-09-13T00:00:00"/>
    <x v="0"/>
    <x v="1"/>
  </r>
  <r>
    <s v="P080"/>
    <x v="9"/>
    <x v="0"/>
    <n v="65"/>
    <n v="2"/>
    <n v="5535075"/>
    <n v="2017"/>
    <d v="2017-07-08T00:00:00"/>
    <x v="7"/>
    <x v="0"/>
  </r>
  <r>
    <s v="P081"/>
    <x v="2"/>
    <x v="0"/>
    <n v="136"/>
    <n v="4"/>
    <n v="12469024"/>
    <n v="2022"/>
    <d v="2022-01-28T00:00:00"/>
    <x v="2"/>
    <x v="1"/>
  </r>
  <r>
    <s v="P082"/>
    <x v="8"/>
    <x v="0"/>
    <n v="82"/>
    <n v="4"/>
    <n v="7832968"/>
    <n v="2023"/>
    <d v="2023-10-15T00:00:00"/>
    <x v="4"/>
    <x v="0"/>
  </r>
  <r>
    <s v="P083"/>
    <x v="5"/>
    <x v="2"/>
    <n v="152"/>
    <n v="1"/>
    <n v="14143904"/>
    <n v="2014"/>
    <d v="2014-06-26T00:00:00"/>
    <x v="9"/>
    <x v="1"/>
  </r>
  <r>
    <s v="P084"/>
    <x v="8"/>
    <x v="1"/>
    <n v="154"/>
    <n v="2"/>
    <n v="13534598"/>
    <n v="2018"/>
    <d v="2018-11-26T00:00:00"/>
    <x v="3"/>
    <x v="1"/>
  </r>
  <r>
    <s v="P085"/>
    <x v="4"/>
    <x v="2"/>
    <n v="116"/>
    <n v="4"/>
    <n v="13625244"/>
    <n v="2010"/>
    <d v="2010-04-07T00:00:00"/>
    <x v="6"/>
    <x v="1"/>
  </r>
  <r>
    <s v="P086"/>
    <x v="3"/>
    <x v="0"/>
    <n v="130"/>
    <n v="5"/>
    <n v="13908310"/>
    <n v="2005"/>
    <d v="2005-03-03T00:00:00"/>
    <x v="10"/>
    <x v="0"/>
  </r>
  <r>
    <s v="P087"/>
    <x v="8"/>
    <x v="1"/>
    <n v="148"/>
    <n v="2"/>
    <n v="10847660"/>
    <n v="2013"/>
    <d v="2013-08-15T00:00:00"/>
    <x v="8"/>
    <x v="1"/>
  </r>
  <r>
    <s v="P088"/>
    <x v="9"/>
    <x v="1"/>
    <n v="146"/>
    <n v="3"/>
    <n v="13449228"/>
    <n v="2017"/>
    <d v="2017-09-12T00:00:00"/>
    <x v="0"/>
    <x v="1"/>
  </r>
  <r>
    <s v="P089"/>
    <x v="8"/>
    <x v="3"/>
    <n v="50"/>
    <n v="4"/>
    <n v="3563500"/>
    <n v="2022"/>
    <d v="2022-02-15T00:00:00"/>
    <x v="5"/>
    <x v="0"/>
  </r>
  <r>
    <s v="P090"/>
    <x v="9"/>
    <x v="1"/>
    <n v="196"/>
    <n v="1"/>
    <n v="22091748"/>
    <n v="2006"/>
    <d v="2006-10-06T00:00:00"/>
    <x v="4"/>
    <x v="0"/>
  </r>
  <r>
    <s v="P091"/>
    <x v="2"/>
    <x v="1"/>
    <n v="35"/>
    <n v="5"/>
    <n v="2799510"/>
    <n v="2012"/>
    <d v="2012-11-08T00:00:00"/>
    <x v="3"/>
    <x v="0"/>
  </r>
  <r>
    <s v="P092"/>
    <x v="6"/>
    <x v="0"/>
    <n v="174"/>
    <n v="2"/>
    <n v="17482824"/>
    <n v="2013"/>
    <d v="2013-08-13T00:00:00"/>
    <x v="8"/>
    <x v="1"/>
  </r>
  <r>
    <s v="P093"/>
    <x v="3"/>
    <x v="0"/>
    <n v="71"/>
    <n v="3"/>
    <n v="5472964"/>
    <n v="2023"/>
    <d v="2023-11-04T00:00:00"/>
    <x v="3"/>
    <x v="0"/>
  </r>
  <r>
    <s v="P094"/>
    <x v="7"/>
    <x v="2"/>
    <n v="131"/>
    <n v="2"/>
    <n v="9822380"/>
    <n v="2023"/>
    <d v="2023-01-12T00:00:00"/>
    <x v="2"/>
    <x v="0"/>
  </r>
  <r>
    <s v="P095"/>
    <x v="0"/>
    <x v="3"/>
    <n v="183"/>
    <n v="1"/>
    <n v="19597104"/>
    <n v="2006"/>
    <d v="2006-10-09T00:00:00"/>
    <x v="4"/>
    <x v="1"/>
  </r>
  <r>
    <s v="P096"/>
    <x v="1"/>
    <x v="2"/>
    <n v="199"/>
    <n v="3"/>
    <n v="14829281"/>
    <n v="2021"/>
    <d v="2021-09-11T00:00:00"/>
    <x v="0"/>
    <x v="1"/>
  </r>
  <r>
    <s v="P097"/>
    <x v="4"/>
    <x v="2"/>
    <n v="155"/>
    <n v="1"/>
    <n v="15253705"/>
    <n v="2016"/>
    <d v="2016-10-07T00:00:00"/>
    <x v="4"/>
    <x v="1"/>
  </r>
  <r>
    <s v="P098"/>
    <x v="3"/>
    <x v="2"/>
    <n v="75"/>
    <n v="5"/>
    <n v="8447100"/>
    <n v="2013"/>
    <d v="2013-06-24T00:00:00"/>
    <x v="9"/>
    <x v="1"/>
  </r>
  <r>
    <s v="P099"/>
    <x v="6"/>
    <x v="2"/>
    <n v="181"/>
    <n v="3"/>
    <n v="16493082"/>
    <n v="2012"/>
    <d v="2012-06-13T00:00:00"/>
    <x v="9"/>
    <x v="0"/>
  </r>
  <r>
    <s v="P100"/>
    <x v="7"/>
    <x v="2"/>
    <n v="92"/>
    <n v="4"/>
    <n v="9875740"/>
    <n v="2017"/>
    <d v="2017-02-22T00:00:00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2AEF3-B805-4ED3-ABB8-C58F5034449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4:E10" firstHeaderRow="1" firstDataRow="2" firstDataCol="1"/>
  <pivotFields count="10">
    <pivotField showAll="0"/>
    <pivotField dataField="1"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64"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ity" fld="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FF5E29-6AB7-4810-99DC-7943D3382E8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B4:C15" firstHeaderRow="1" firstDataRow="1" firstDataCol="1"/>
  <pivotFields count="10">
    <pivotField showAll="0"/>
    <pivotField axis="axisRow" showAll="0">
      <items count="11">
        <item x="5"/>
        <item x="6"/>
        <item x="4"/>
        <item x="9"/>
        <item x="7"/>
        <item x="8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dataField="1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Status" fld="9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887D1-FB86-4F08-86B1-75D00E854C8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:E16" firstHeaderRow="1" firstDataRow="2" firstDataCol="1"/>
  <pivotFields count="10">
    <pivotField showAll="0"/>
    <pivotField axis="axisRow" dataField="1" showAll="0">
      <items count="11">
        <item x="5"/>
        <item x="6"/>
        <item x="4"/>
        <item x="9"/>
        <item x="7"/>
        <item x="8"/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numFmtId="164" showAll="0"/>
    <pivotField showAll="0"/>
    <pivotField axis="axisCol" showAll="0">
      <items count="3">
        <item x="0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Count of City" fld="1" subtotal="count" baseField="0" baseItem="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42D36-C6DC-403B-ACF3-A2B67F65B91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B6:G18" firstHeaderRow="1" firstDataRow="2" firstDataCol="1" rowPageCount="1" colPageCount="1"/>
  <pivotFields count="10">
    <pivotField showAll="0"/>
    <pivotField axis="axisRow" dataField="1" showAll="0">
      <items count="11">
        <item x="5"/>
        <item x="6"/>
        <item x="4"/>
        <item x="9"/>
        <item x="7"/>
        <item x="8"/>
        <item x="2"/>
        <item x="0"/>
        <item x="1"/>
        <item x="3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numFmtId="164" showAll="0"/>
    <pivotField showAll="0"/>
    <pivotField axis="axisPage" multipleItemSelectionAllowed="1" showAll="0">
      <items count="3">
        <item h="1" x="0"/>
        <item x="1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pageFields count="1">
    <pageField fld="9" hier="-1"/>
  </pageFields>
  <dataFields count="1">
    <dataField name="Count of City" fld="1" subtotal="count" baseField="0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4">
    <chartFormat chart="5" format="18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5" format="19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5" format="20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5" format="21" series="1">
      <pivotArea type="data" outline="0" fieldPosition="0">
        <references count="1"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561BB-DEDA-4A6D-AC05-997023472DF3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4:C17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numFmtId="164" showAll="0"/>
    <pivotField axis="axisRow" showAll="0">
      <items count="13">
        <item x="2"/>
        <item x="5"/>
        <item x="10"/>
        <item x="6"/>
        <item x="1"/>
        <item x="9"/>
        <item x="7"/>
        <item x="8"/>
        <item x="0"/>
        <item x="4"/>
        <item x="3"/>
        <item x="11"/>
        <item t="default"/>
      </items>
    </pivotField>
    <pivotField dataField="1" showAll="0">
      <items count="3">
        <item x="0"/>
        <item x="1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Status" fld="9" subtotal="count" baseField="0" baseItem="0"/>
  </dataFields>
  <chartFormats count="1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683A37-9077-47C6-BC3C-C5EA97302B66}" name="Table1" displayName="Table1" ref="A1:J101" totalsRowShown="0" headerRowDxfId="13" dataDxfId="11" headerRowBorderDxfId="12" tableBorderDxfId="10">
  <autoFilter ref="A1:J101" xr:uid="{52683A37-9077-47C6-BC3C-C5EA97302B66}"/>
  <tableColumns count="10">
    <tableColumn id="1" xr3:uid="{B096A5BA-2858-46C0-8955-F043B81CE46D}" name="Property_ID" dataDxfId="9"/>
    <tableColumn id="2" xr3:uid="{B7D6A26A-0A97-451B-B988-F25447999930}" name="City" dataDxfId="8"/>
    <tableColumn id="3" xr3:uid="{B74F64FA-67EF-45AC-98CF-347D7BF241BD}" name="Property_Type" dataDxfId="7"/>
    <tableColumn id="4" xr3:uid="{9714B220-3D97-44D2-B9B0-C0BE384CFD75}" name="Area_sqm" dataDxfId="6"/>
    <tableColumn id="5" xr3:uid="{06FEE6E3-5FCB-461C-87F6-DDBF748C98A8}" name="Bedrooms" dataDxfId="5"/>
    <tableColumn id="6" xr3:uid="{0B7F8DF4-72E8-45D7-90F9-8F0B64D77928}" name="Price_PHP" dataDxfId="4"/>
    <tableColumn id="7" xr3:uid="{472A8B36-FE65-4328-A481-E99CC850C690}" name="Year_Built" dataDxfId="3"/>
    <tableColumn id="10" xr3:uid="{6A863F81-D89D-4582-BC89-BD0DDAE99934}" name="Date_sold" dataDxfId="2"/>
    <tableColumn id="11" xr3:uid="{99531F96-DF78-46B8-8470-ED5F6645637E}" name="Month_sold" dataDxfId="1"/>
    <tableColumn id="8" xr3:uid="{4F5F33AE-5A3E-4B50-BC37-ED35C1C53485}" name="Statu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workbookViewId="0">
      <selection activeCell="L4" sqref="L4"/>
    </sheetView>
  </sheetViews>
  <sheetFormatPr defaultRowHeight="14.4" x14ac:dyDescent="0.3"/>
  <cols>
    <col min="1" max="1" width="15.5546875" bestFit="1" customWidth="1"/>
    <col min="2" max="2" width="12" bestFit="1" customWidth="1"/>
    <col min="3" max="3" width="18" bestFit="1" customWidth="1"/>
    <col min="4" max="4" width="13.88671875" bestFit="1" customWidth="1"/>
    <col min="5" max="6" width="14" bestFit="1" customWidth="1"/>
    <col min="7" max="7" width="13.88671875" bestFit="1" customWidth="1"/>
    <col min="8" max="8" width="13.88671875" customWidth="1"/>
    <col min="9" max="9" width="13.88671875" style="8" customWidth="1"/>
    <col min="10" max="10" width="10.6640625" bestFit="1" customWidth="1"/>
    <col min="12" max="12" width="17.88671875" customWidth="1"/>
  </cols>
  <sheetData>
    <row r="1" spans="1:12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143</v>
      </c>
      <c r="I1" s="9" t="s">
        <v>144</v>
      </c>
      <c r="J1" s="9" t="s">
        <v>7</v>
      </c>
    </row>
    <row r="2" spans="1:12" x14ac:dyDescent="0.3">
      <c r="A2" s="3" t="s">
        <v>8</v>
      </c>
      <c r="B2" s="3" t="s">
        <v>108</v>
      </c>
      <c r="C2" s="3" t="s">
        <v>118</v>
      </c>
      <c r="D2" s="3">
        <v>100</v>
      </c>
      <c r="E2" s="3">
        <v>2</v>
      </c>
      <c r="F2" s="3">
        <v>8462800</v>
      </c>
      <c r="G2" s="3">
        <v>2009</v>
      </c>
      <c r="H2" s="10">
        <v>40059</v>
      </c>
      <c r="I2" s="10" t="s">
        <v>148</v>
      </c>
      <c r="J2" s="3" t="s">
        <v>122</v>
      </c>
      <c r="L2" s="1" t="s">
        <v>126</v>
      </c>
    </row>
    <row r="3" spans="1:12" x14ac:dyDescent="0.3">
      <c r="A3" s="3" t="s">
        <v>9</v>
      </c>
      <c r="B3" s="3" t="s">
        <v>109</v>
      </c>
      <c r="C3" s="3" t="s">
        <v>118</v>
      </c>
      <c r="D3" s="3">
        <v>181</v>
      </c>
      <c r="E3" s="3">
        <v>4</v>
      </c>
      <c r="F3" s="3">
        <v>13046842</v>
      </c>
      <c r="G3" s="3">
        <v>2005</v>
      </c>
      <c r="H3" s="10">
        <v>38616</v>
      </c>
      <c r="I3" s="10" t="s">
        <v>148</v>
      </c>
      <c r="J3" s="3" t="s">
        <v>122</v>
      </c>
    </row>
    <row r="4" spans="1:12" x14ac:dyDescent="0.3">
      <c r="A4" s="3" t="s">
        <v>10</v>
      </c>
      <c r="B4" s="3" t="s">
        <v>110</v>
      </c>
      <c r="C4" s="3" t="s">
        <v>119</v>
      </c>
      <c r="D4" s="3">
        <v>159</v>
      </c>
      <c r="E4" s="3">
        <v>5</v>
      </c>
      <c r="F4" s="3">
        <v>11406501</v>
      </c>
      <c r="G4" s="3">
        <v>2022</v>
      </c>
      <c r="H4" s="10">
        <v>44832</v>
      </c>
      <c r="I4" s="10" t="s">
        <v>148</v>
      </c>
      <c r="J4" s="3" t="s">
        <v>122</v>
      </c>
      <c r="L4" t="s">
        <v>127</v>
      </c>
    </row>
    <row r="5" spans="1:12" x14ac:dyDescent="0.3">
      <c r="A5" s="3" t="s">
        <v>11</v>
      </c>
      <c r="B5" s="3" t="s">
        <v>109</v>
      </c>
      <c r="C5" s="3" t="s">
        <v>120</v>
      </c>
      <c r="D5" s="3">
        <v>86</v>
      </c>
      <c r="E5" s="3">
        <v>4</v>
      </c>
      <c r="F5" s="3">
        <v>9341148</v>
      </c>
      <c r="G5" s="3">
        <v>2013</v>
      </c>
      <c r="H5" s="10">
        <v>41418</v>
      </c>
      <c r="I5" s="10" t="s">
        <v>145</v>
      </c>
      <c r="J5" s="3" t="s">
        <v>122</v>
      </c>
    </row>
    <row r="6" spans="1:12" x14ac:dyDescent="0.3">
      <c r="A6" s="3" t="s">
        <v>12</v>
      </c>
      <c r="B6" s="3" t="s">
        <v>111</v>
      </c>
      <c r="C6" s="3" t="s">
        <v>120</v>
      </c>
      <c r="D6" s="3">
        <v>117</v>
      </c>
      <c r="E6" s="3">
        <v>3</v>
      </c>
      <c r="F6" s="3">
        <v>9382113</v>
      </c>
      <c r="G6" s="3">
        <v>2011</v>
      </c>
      <c r="H6" s="10">
        <v>40569</v>
      </c>
      <c r="I6" s="10" t="s">
        <v>150</v>
      </c>
      <c r="J6" s="3" t="s">
        <v>123</v>
      </c>
    </row>
    <row r="7" spans="1:12" x14ac:dyDescent="0.3">
      <c r="A7" s="3" t="s">
        <v>13</v>
      </c>
      <c r="B7" s="3" t="s">
        <v>108</v>
      </c>
      <c r="C7" s="3" t="s">
        <v>118</v>
      </c>
      <c r="D7" s="3">
        <v>127</v>
      </c>
      <c r="E7" s="3">
        <v>1</v>
      </c>
      <c r="F7" s="3">
        <v>11877802</v>
      </c>
      <c r="G7" s="3">
        <v>2016</v>
      </c>
      <c r="H7" s="10">
        <v>42683</v>
      </c>
      <c r="I7" s="10" t="s">
        <v>147</v>
      </c>
      <c r="J7" s="3" t="s">
        <v>123</v>
      </c>
    </row>
    <row r="8" spans="1:12" x14ac:dyDescent="0.3">
      <c r="A8" s="3" t="s">
        <v>14</v>
      </c>
      <c r="B8" s="3" t="s">
        <v>112</v>
      </c>
      <c r="C8" s="3" t="s">
        <v>120</v>
      </c>
      <c r="D8" s="3">
        <v>167</v>
      </c>
      <c r="E8" s="3">
        <v>1</v>
      </c>
      <c r="F8" s="3">
        <v>15832769</v>
      </c>
      <c r="G8" s="3">
        <v>2007</v>
      </c>
      <c r="H8" s="10">
        <v>39362</v>
      </c>
      <c r="I8" s="10" t="s">
        <v>151</v>
      </c>
      <c r="J8" s="3" t="s">
        <v>123</v>
      </c>
    </row>
    <row r="9" spans="1:12" x14ac:dyDescent="0.3">
      <c r="A9" s="3" t="s">
        <v>15</v>
      </c>
      <c r="B9" s="3" t="s">
        <v>113</v>
      </c>
      <c r="C9" s="3" t="s">
        <v>121</v>
      </c>
      <c r="D9" s="3">
        <v>177</v>
      </c>
      <c r="E9" s="3">
        <v>2</v>
      </c>
      <c r="F9" s="3">
        <v>20562798</v>
      </c>
      <c r="G9" s="3">
        <v>2007</v>
      </c>
      <c r="H9" s="10">
        <v>39412</v>
      </c>
      <c r="I9" s="10" t="s">
        <v>147</v>
      </c>
      <c r="J9" s="3" t="s">
        <v>122</v>
      </c>
      <c r="L9" s="1" t="s">
        <v>124</v>
      </c>
    </row>
    <row r="10" spans="1:12" x14ac:dyDescent="0.3">
      <c r="A10" s="3" t="s">
        <v>16</v>
      </c>
      <c r="B10" s="3" t="s">
        <v>110</v>
      </c>
      <c r="C10" s="3" t="s">
        <v>121</v>
      </c>
      <c r="D10" s="3">
        <v>50</v>
      </c>
      <c r="E10" s="3">
        <v>2</v>
      </c>
      <c r="F10" s="3">
        <v>3830950</v>
      </c>
      <c r="G10" s="3">
        <v>2017</v>
      </c>
      <c r="H10" s="10">
        <v>42746</v>
      </c>
      <c r="I10" s="10" t="s">
        <v>150</v>
      </c>
      <c r="J10" s="3" t="s">
        <v>123</v>
      </c>
      <c r="L10" t="s">
        <v>125</v>
      </c>
    </row>
    <row r="11" spans="1:12" x14ac:dyDescent="0.3">
      <c r="A11" s="3" t="s">
        <v>17</v>
      </c>
      <c r="B11" s="3" t="s">
        <v>114</v>
      </c>
      <c r="C11" s="3" t="s">
        <v>121</v>
      </c>
      <c r="D11" s="3">
        <v>71</v>
      </c>
      <c r="E11" s="3">
        <v>3</v>
      </c>
      <c r="F11" s="3">
        <v>6623093</v>
      </c>
      <c r="G11" s="3">
        <v>2011</v>
      </c>
      <c r="H11" s="10">
        <v>40577</v>
      </c>
      <c r="I11" s="10" t="s">
        <v>156</v>
      </c>
      <c r="J11" s="3" t="s">
        <v>123</v>
      </c>
      <c r="L11" t="s">
        <v>130</v>
      </c>
    </row>
    <row r="12" spans="1:12" x14ac:dyDescent="0.3">
      <c r="A12" s="3" t="s">
        <v>18</v>
      </c>
      <c r="B12" s="3" t="s">
        <v>108</v>
      </c>
      <c r="C12" s="3" t="s">
        <v>119</v>
      </c>
      <c r="D12" s="3">
        <v>166</v>
      </c>
      <c r="E12" s="3">
        <v>2</v>
      </c>
      <c r="F12" s="3">
        <v>13397528</v>
      </c>
      <c r="G12" s="3">
        <v>2019</v>
      </c>
      <c r="H12" s="10">
        <v>43488</v>
      </c>
      <c r="I12" s="10" t="s">
        <v>150</v>
      </c>
      <c r="J12" s="3" t="s">
        <v>123</v>
      </c>
      <c r="L12" t="s">
        <v>131</v>
      </c>
    </row>
    <row r="13" spans="1:12" x14ac:dyDescent="0.3">
      <c r="A13" s="3" t="s">
        <v>19</v>
      </c>
      <c r="B13" s="3" t="s">
        <v>115</v>
      </c>
      <c r="C13" s="3" t="s">
        <v>119</v>
      </c>
      <c r="D13" s="3">
        <v>113</v>
      </c>
      <c r="E13" s="3">
        <v>1</v>
      </c>
      <c r="F13" s="3">
        <v>9606130</v>
      </c>
      <c r="G13" s="3">
        <v>2006</v>
      </c>
      <c r="H13" s="10">
        <v>38970</v>
      </c>
      <c r="I13" s="10" t="s">
        <v>148</v>
      </c>
      <c r="J13" s="3" t="s">
        <v>123</v>
      </c>
      <c r="L13" t="s">
        <v>132</v>
      </c>
    </row>
    <row r="14" spans="1:12" x14ac:dyDescent="0.3">
      <c r="A14" s="3" t="s">
        <v>20</v>
      </c>
      <c r="B14" s="3" t="s">
        <v>116</v>
      </c>
      <c r="C14" s="3" t="s">
        <v>121</v>
      </c>
      <c r="D14" s="3">
        <v>46</v>
      </c>
      <c r="E14" s="3">
        <v>2</v>
      </c>
      <c r="F14" s="3">
        <v>4929820</v>
      </c>
      <c r="G14" s="3">
        <v>2015</v>
      </c>
      <c r="H14" s="10">
        <v>42100</v>
      </c>
      <c r="I14" s="10" t="s">
        <v>153</v>
      </c>
      <c r="J14" s="3" t="s">
        <v>122</v>
      </c>
      <c r="L14" t="s">
        <v>133</v>
      </c>
    </row>
    <row r="15" spans="1:12" x14ac:dyDescent="0.3">
      <c r="A15" s="3" t="s">
        <v>21</v>
      </c>
      <c r="B15" s="3" t="s">
        <v>114</v>
      </c>
      <c r="C15" s="3" t="s">
        <v>120</v>
      </c>
      <c r="D15" s="3">
        <v>194</v>
      </c>
      <c r="E15" s="3">
        <v>4</v>
      </c>
      <c r="F15" s="3">
        <v>15396422</v>
      </c>
      <c r="G15" s="3">
        <v>2013</v>
      </c>
      <c r="H15" s="10">
        <v>41473</v>
      </c>
      <c r="I15" s="10" t="s">
        <v>149</v>
      </c>
      <c r="J15" s="3" t="s">
        <v>122</v>
      </c>
      <c r="L15" t="s">
        <v>134</v>
      </c>
    </row>
    <row r="16" spans="1:12" x14ac:dyDescent="0.3">
      <c r="A16" s="3" t="s">
        <v>22</v>
      </c>
      <c r="B16" s="3" t="s">
        <v>110</v>
      </c>
      <c r="C16" s="3" t="s">
        <v>121</v>
      </c>
      <c r="D16" s="3">
        <v>179</v>
      </c>
      <c r="E16" s="3">
        <v>4</v>
      </c>
      <c r="F16" s="3">
        <v>19375318</v>
      </c>
      <c r="G16" s="3">
        <v>2017</v>
      </c>
      <c r="H16" s="10">
        <v>42939</v>
      </c>
      <c r="I16" s="10" t="s">
        <v>149</v>
      </c>
      <c r="J16" s="3" t="s">
        <v>123</v>
      </c>
    </row>
    <row r="17" spans="1:10" x14ac:dyDescent="0.3">
      <c r="A17" s="3" t="s">
        <v>23</v>
      </c>
      <c r="B17" s="3" t="s">
        <v>110</v>
      </c>
      <c r="C17" s="3" t="s">
        <v>119</v>
      </c>
      <c r="D17" s="3">
        <v>160</v>
      </c>
      <c r="E17" s="3">
        <v>4</v>
      </c>
      <c r="F17" s="3">
        <v>12153120</v>
      </c>
      <c r="G17" s="3">
        <v>2006</v>
      </c>
      <c r="H17" s="10">
        <v>38998</v>
      </c>
      <c r="I17" s="10" t="s">
        <v>151</v>
      </c>
      <c r="J17" s="3" t="s">
        <v>122</v>
      </c>
    </row>
    <row r="18" spans="1:10" x14ac:dyDescent="0.3">
      <c r="A18" s="3" t="s">
        <v>24</v>
      </c>
      <c r="B18" s="3" t="s">
        <v>111</v>
      </c>
      <c r="C18" s="3" t="s">
        <v>119</v>
      </c>
      <c r="D18" s="3">
        <v>138</v>
      </c>
      <c r="E18" s="3">
        <v>5</v>
      </c>
      <c r="F18" s="3">
        <v>10234494</v>
      </c>
      <c r="G18" s="3">
        <v>2017</v>
      </c>
      <c r="H18" s="10">
        <v>42762</v>
      </c>
      <c r="I18" s="10" t="s">
        <v>150</v>
      </c>
      <c r="J18" s="3" t="s">
        <v>123</v>
      </c>
    </row>
    <row r="19" spans="1:10" x14ac:dyDescent="0.3">
      <c r="A19" s="3" t="s">
        <v>25</v>
      </c>
      <c r="B19" s="3" t="s">
        <v>113</v>
      </c>
      <c r="C19" s="3" t="s">
        <v>120</v>
      </c>
      <c r="D19" s="3">
        <v>165</v>
      </c>
      <c r="E19" s="3">
        <v>3</v>
      </c>
      <c r="F19" s="3">
        <v>17532240</v>
      </c>
      <c r="G19" s="3">
        <v>2005</v>
      </c>
      <c r="H19" s="10">
        <v>38584</v>
      </c>
      <c r="I19" s="10" t="s">
        <v>155</v>
      </c>
      <c r="J19" s="3" t="s">
        <v>122</v>
      </c>
    </row>
    <row r="20" spans="1:10" x14ac:dyDescent="0.3">
      <c r="A20" s="3" t="s">
        <v>26</v>
      </c>
      <c r="B20" s="3" t="s">
        <v>109</v>
      </c>
      <c r="C20" s="3" t="s">
        <v>121</v>
      </c>
      <c r="D20" s="3">
        <v>194</v>
      </c>
      <c r="E20" s="3">
        <v>3</v>
      </c>
      <c r="F20" s="3">
        <v>14998140</v>
      </c>
      <c r="G20" s="3">
        <v>2014</v>
      </c>
      <c r="H20" s="10">
        <v>41872</v>
      </c>
      <c r="I20" s="10" t="s">
        <v>155</v>
      </c>
      <c r="J20" s="3" t="s">
        <v>123</v>
      </c>
    </row>
    <row r="21" spans="1:10" x14ac:dyDescent="0.3">
      <c r="A21" s="3" t="s">
        <v>27</v>
      </c>
      <c r="B21" s="3" t="s">
        <v>111</v>
      </c>
      <c r="C21" s="3" t="s">
        <v>120</v>
      </c>
      <c r="D21" s="3">
        <v>30</v>
      </c>
      <c r="E21" s="3">
        <v>3</v>
      </c>
      <c r="F21" s="3">
        <v>3084180</v>
      </c>
      <c r="G21" s="3">
        <v>2010</v>
      </c>
      <c r="H21" s="10">
        <v>40217</v>
      </c>
      <c r="I21" s="10" t="s">
        <v>156</v>
      </c>
      <c r="J21" s="3" t="s">
        <v>122</v>
      </c>
    </row>
    <row r="22" spans="1:10" x14ac:dyDescent="0.3">
      <c r="A22" s="3" t="s">
        <v>28</v>
      </c>
      <c r="B22" s="3" t="s">
        <v>115</v>
      </c>
      <c r="C22" s="3" t="s">
        <v>119</v>
      </c>
      <c r="D22" s="3">
        <v>69</v>
      </c>
      <c r="E22" s="3">
        <v>3</v>
      </c>
      <c r="F22" s="3">
        <v>8277999</v>
      </c>
      <c r="G22" s="3">
        <v>2010</v>
      </c>
      <c r="H22" s="10">
        <v>40486</v>
      </c>
      <c r="I22" s="10" t="s">
        <v>147</v>
      </c>
      <c r="J22" s="3" t="s">
        <v>122</v>
      </c>
    </row>
    <row r="23" spans="1:10" x14ac:dyDescent="0.3">
      <c r="A23" s="3" t="s">
        <v>29</v>
      </c>
      <c r="B23" s="3" t="s">
        <v>113</v>
      </c>
      <c r="C23" s="3" t="s">
        <v>121</v>
      </c>
      <c r="D23" s="3">
        <v>155</v>
      </c>
      <c r="E23" s="3">
        <v>1</v>
      </c>
      <c r="F23" s="3">
        <v>11986305</v>
      </c>
      <c r="G23" s="3">
        <v>2016</v>
      </c>
      <c r="H23" s="10">
        <v>42555</v>
      </c>
      <c r="I23" s="10" t="s">
        <v>149</v>
      </c>
      <c r="J23" s="3" t="s">
        <v>123</v>
      </c>
    </row>
    <row r="24" spans="1:10" x14ac:dyDescent="0.3">
      <c r="A24" s="3" t="s">
        <v>30</v>
      </c>
      <c r="B24" s="3" t="s">
        <v>110</v>
      </c>
      <c r="C24" s="3" t="s">
        <v>118</v>
      </c>
      <c r="D24" s="3">
        <v>91</v>
      </c>
      <c r="E24" s="3">
        <v>5</v>
      </c>
      <c r="F24" s="3">
        <v>6839651</v>
      </c>
      <c r="G24" s="3">
        <v>2007</v>
      </c>
      <c r="H24" s="10">
        <v>39119</v>
      </c>
      <c r="I24" s="10" t="s">
        <v>156</v>
      </c>
      <c r="J24" s="3" t="s">
        <v>123</v>
      </c>
    </row>
    <row r="25" spans="1:10" x14ac:dyDescent="0.3">
      <c r="A25" s="3" t="s">
        <v>31</v>
      </c>
      <c r="B25" s="3" t="s">
        <v>108</v>
      </c>
      <c r="C25" s="3" t="s">
        <v>119</v>
      </c>
      <c r="D25" s="3">
        <v>62</v>
      </c>
      <c r="E25" s="3">
        <v>4</v>
      </c>
      <c r="F25" s="3">
        <v>6573922</v>
      </c>
      <c r="G25" s="3">
        <v>2010</v>
      </c>
      <c r="H25" s="10">
        <v>40508</v>
      </c>
      <c r="I25" s="10" t="s">
        <v>147</v>
      </c>
      <c r="J25" s="3" t="s">
        <v>123</v>
      </c>
    </row>
    <row r="26" spans="1:10" x14ac:dyDescent="0.3">
      <c r="A26" s="3" t="s">
        <v>32</v>
      </c>
      <c r="B26" s="3" t="s">
        <v>109</v>
      </c>
      <c r="C26" s="3" t="s">
        <v>120</v>
      </c>
      <c r="D26" s="3">
        <v>84</v>
      </c>
      <c r="E26" s="3">
        <v>5</v>
      </c>
      <c r="F26" s="3">
        <v>10037748</v>
      </c>
      <c r="G26" s="3">
        <v>2011</v>
      </c>
      <c r="H26" s="10">
        <v>40720</v>
      </c>
      <c r="I26" s="10" t="s">
        <v>152</v>
      </c>
      <c r="J26" s="3" t="s">
        <v>123</v>
      </c>
    </row>
    <row r="27" spans="1:10" x14ac:dyDescent="0.3">
      <c r="A27" s="3" t="s">
        <v>33</v>
      </c>
      <c r="B27" s="3" t="s">
        <v>116</v>
      </c>
      <c r="C27" s="3" t="s">
        <v>121</v>
      </c>
      <c r="D27" s="3">
        <v>142</v>
      </c>
      <c r="E27" s="3">
        <v>5</v>
      </c>
      <c r="F27" s="3">
        <v>14141496</v>
      </c>
      <c r="G27" s="3">
        <v>2008</v>
      </c>
      <c r="H27" s="10">
        <v>39522</v>
      </c>
      <c r="I27" s="10" t="s">
        <v>154</v>
      </c>
      <c r="J27" s="3" t="s">
        <v>122</v>
      </c>
    </row>
    <row r="28" spans="1:10" x14ac:dyDescent="0.3">
      <c r="A28" s="3" t="s">
        <v>34</v>
      </c>
      <c r="B28" s="3" t="s">
        <v>110</v>
      </c>
      <c r="C28" s="3" t="s">
        <v>118</v>
      </c>
      <c r="D28" s="3">
        <v>116</v>
      </c>
      <c r="E28" s="3">
        <v>1</v>
      </c>
      <c r="F28" s="3">
        <v>12592380</v>
      </c>
      <c r="G28" s="3">
        <v>2022</v>
      </c>
      <c r="H28" s="10">
        <v>44663</v>
      </c>
      <c r="I28" s="10" t="s">
        <v>153</v>
      </c>
      <c r="J28" s="3" t="s">
        <v>122</v>
      </c>
    </row>
    <row r="29" spans="1:10" x14ac:dyDescent="0.3">
      <c r="A29" s="3" t="s">
        <v>35</v>
      </c>
      <c r="B29" s="3" t="s">
        <v>113</v>
      </c>
      <c r="C29" s="3" t="s">
        <v>119</v>
      </c>
      <c r="D29" s="3">
        <v>31</v>
      </c>
      <c r="E29" s="3">
        <v>1</v>
      </c>
      <c r="F29" s="3">
        <v>3608059</v>
      </c>
      <c r="G29" s="3">
        <v>2006</v>
      </c>
      <c r="H29" s="10">
        <v>39056</v>
      </c>
      <c r="I29" s="10" t="s">
        <v>146</v>
      </c>
      <c r="J29" s="3" t="s">
        <v>122</v>
      </c>
    </row>
    <row r="30" spans="1:10" x14ac:dyDescent="0.3">
      <c r="A30" s="3" t="s">
        <v>36</v>
      </c>
      <c r="B30" s="3" t="s">
        <v>108</v>
      </c>
      <c r="C30" s="3" t="s">
        <v>118</v>
      </c>
      <c r="D30" s="3">
        <v>114</v>
      </c>
      <c r="E30" s="3">
        <v>1</v>
      </c>
      <c r="F30" s="3">
        <v>11821230</v>
      </c>
      <c r="G30" s="3">
        <v>2012</v>
      </c>
      <c r="H30" s="10">
        <v>41131</v>
      </c>
      <c r="I30" s="10" t="s">
        <v>155</v>
      </c>
      <c r="J30" s="3" t="s">
        <v>123</v>
      </c>
    </row>
    <row r="31" spans="1:10" x14ac:dyDescent="0.3">
      <c r="A31" s="3" t="s">
        <v>37</v>
      </c>
      <c r="B31" s="3" t="s">
        <v>114</v>
      </c>
      <c r="C31" s="3" t="s">
        <v>119</v>
      </c>
      <c r="D31" s="3">
        <v>168</v>
      </c>
      <c r="E31" s="3">
        <v>2</v>
      </c>
      <c r="F31" s="3">
        <v>19724040</v>
      </c>
      <c r="G31" s="3">
        <v>2023</v>
      </c>
      <c r="H31" s="10">
        <v>45128</v>
      </c>
      <c r="I31" s="10" t="s">
        <v>149</v>
      </c>
      <c r="J31" s="3" t="s">
        <v>123</v>
      </c>
    </row>
    <row r="32" spans="1:10" x14ac:dyDescent="0.3">
      <c r="A32" s="3" t="s">
        <v>38</v>
      </c>
      <c r="B32" s="3" t="s">
        <v>110</v>
      </c>
      <c r="C32" s="3" t="s">
        <v>120</v>
      </c>
      <c r="D32" s="3">
        <v>134</v>
      </c>
      <c r="E32" s="3">
        <v>2</v>
      </c>
      <c r="F32" s="3">
        <v>10208254</v>
      </c>
      <c r="G32" s="3">
        <v>2008</v>
      </c>
      <c r="H32" s="10">
        <v>39494</v>
      </c>
      <c r="I32" s="10" t="s">
        <v>156</v>
      </c>
      <c r="J32" s="3" t="s">
        <v>123</v>
      </c>
    </row>
    <row r="33" spans="1:10" x14ac:dyDescent="0.3">
      <c r="A33" s="3" t="s">
        <v>39</v>
      </c>
      <c r="B33" s="3" t="s">
        <v>117</v>
      </c>
      <c r="C33" s="3" t="s">
        <v>120</v>
      </c>
      <c r="D33" s="3">
        <v>135</v>
      </c>
      <c r="E33" s="3">
        <v>4</v>
      </c>
      <c r="F33" s="3">
        <v>15900300</v>
      </c>
      <c r="G33" s="3">
        <v>2006</v>
      </c>
      <c r="H33" s="10">
        <v>38847</v>
      </c>
      <c r="I33" s="10" t="s">
        <v>145</v>
      </c>
      <c r="J33" s="3" t="s">
        <v>122</v>
      </c>
    </row>
    <row r="34" spans="1:10" x14ac:dyDescent="0.3">
      <c r="A34" s="3" t="s">
        <v>40</v>
      </c>
      <c r="B34" s="3" t="s">
        <v>112</v>
      </c>
      <c r="C34" s="3" t="s">
        <v>120</v>
      </c>
      <c r="D34" s="3">
        <v>116</v>
      </c>
      <c r="E34" s="3">
        <v>1</v>
      </c>
      <c r="F34" s="3">
        <v>10010220</v>
      </c>
      <c r="G34" s="3">
        <v>2011</v>
      </c>
      <c r="H34" s="10">
        <v>40737</v>
      </c>
      <c r="I34" s="10" t="s">
        <v>149</v>
      </c>
      <c r="J34" s="3" t="s">
        <v>122</v>
      </c>
    </row>
    <row r="35" spans="1:10" x14ac:dyDescent="0.3">
      <c r="A35" s="3" t="s">
        <v>41</v>
      </c>
      <c r="B35" s="3" t="s">
        <v>109</v>
      </c>
      <c r="C35" s="3" t="s">
        <v>120</v>
      </c>
      <c r="D35" s="3">
        <v>65</v>
      </c>
      <c r="E35" s="3">
        <v>4</v>
      </c>
      <c r="F35" s="3">
        <v>5331625</v>
      </c>
      <c r="G35" s="3">
        <v>2013</v>
      </c>
      <c r="H35" s="10">
        <v>41402</v>
      </c>
      <c r="I35" s="10" t="s">
        <v>145</v>
      </c>
      <c r="J35" s="3" t="s">
        <v>123</v>
      </c>
    </row>
    <row r="36" spans="1:10" x14ac:dyDescent="0.3">
      <c r="A36" s="3" t="s">
        <v>42</v>
      </c>
      <c r="B36" s="3" t="s">
        <v>110</v>
      </c>
      <c r="C36" s="3" t="s">
        <v>118</v>
      </c>
      <c r="D36" s="3">
        <v>143</v>
      </c>
      <c r="E36" s="3">
        <v>5</v>
      </c>
      <c r="F36" s="3">
        <v>10927488</v>
      </c>
      <c r="G36" s="3">
        <v>2006</v>
      </c>
      <c r="H36" s="10">
        <v>38962</v>
      </c>
      <c r="I36" s="10" t="s">
        <v>148</v>
      </c>
      <c r="J36" s="3" t="s">
        <v>122</v>
      </c>
    </row>
    <row r="37" spans="1:10" x14ac:dyDescent="0.3">
      <c r="A37" s="3" t="s">
        <v>43</v>
      </c>
      <c r="B37" s="3" t="s">
        <v>108</v>
      </c>
      <c r="C37" s="3" t="s">
        <v>119</v>
      </c>
      <c r="D37" s="3">
        <v>72</v>
      </c>
      <c r="E37" s="3">
        <v>4</v>
      </c>
      <c r="F37" s="3">
        <v>7331472</v>
      </c>
      <c r="G37" s="3">
        <v>2020</v>
      </c>
      <c r="H37" s="10">
        <v>44017</v>
      </c>
      <c r="I37" s="10" t="s">
        <v>149</v>
      </c>
      <c r="J37" s="3" t="s">
        <v>122</v>
      </c>
    </row>
    <row r="38" spans="1:10" x14ac:dyDescent="0.3">
      <c r="A38" s="3" t="s">
        <v>44</v>
      </c>
      <c r="B38" s="3" t="s">
        <v>116</v>
      </c>
      <c r="C38" s="3" t="s">
        <v>118</v>
      </c>
      <c r="D38" s="3">
        <v>72</v>
      </c>
      <c r="E38" s="3">
        <v>4</v>
      </c>
      <c r="F38" s="3">
        <v>5050152</v>
      </c>
      <c r="G38" s="3">
        <v>2017</v>
      </c>
      <c r="H38" s="10">
        <v>42837</v>
      </c>
      <c r="I38" s="10" t="s">
        <v>153</v>
      </c>
      <c r="J38" s="3" t="s">
        <v>123</v>
      </c>
    </row>
    <row r="39" spans="1:10" x14ac:dyDescent="0.3">
      <c r="A39" s="3" t="s">
        <v>45</v>
      </c>
      <c r="B39" s="3" t="s">
        <v>114</v>
      </c>
      <c r="C39" s="3" t="s">
        <v>121</v>
      </c>
      <c r="D39" s="3">
        <v>138</v>
      </c>
      <c r="E39" s="3">
        <v>5</v>
      </c>
      <c r="F39" s="3">
        <v>15645888</v>
      </c>
      <c r="G39" s="3">
        <v>2020</v>
      </c>
      <c r="H39" s="10">
        <v>44174</v>
      </c>
      <c r="I39" s="10" t="s">
        <v>146</v>
      </c>
      <c r="J39" s="3" t="s">
        <v>122</v>
      </c>
    </row>
    <row r="40" spans="1:10" x14ac:dyDescent="0.3">
      <c r="A40" s="3" t="s">
        <v>46</v>
      </c>
      <c r="B40" s="3" t="s">
        <v>110</v>
      </c>
      <c r="C40" s="3" t="s">
        <v>121</v>
      </c>
      <c r="D40" s="3">
        <v>85</v>
      </c>
      <c r="E40" s="3">
        <v>1</v>
      </c>
      <c r="F40" s="3">
        <v>9176345</v>
      </c>
      <c r="G40" s="3">
        <v>2022</v>
      </c>
      <c r="H40" s="10">
        <v>44702</v>
      </c>
      <c r="I40" s="10" t="s">
        <v>145</v>
      </c>
      <c r="J40" s="3" t="s">
        <v>122</v>
      </c>
    </row>
    <row r="41" spans="1:10" x14ac:dyDescent="0.3">
      <c r="A41" s="3" t="s">
        <v>47</v>
      </c>
      <c r="B41" s="3" t="s">
        <v>117</v>
      </c>
      <c r="C41" s="3" t="s">
        <v>118</v>
      </c>
      <c r="D41" s="3">
        <v>42</v>
      </c>
      <c r="E41" s="3">
        <v>5</v>
      </c>
      <c r="F41" s="3">
        <v>4252332</v>
      </c>
      <c r="G41" s="3">
        <v>2021</v>
      </c>
      <c r="H41" s="10">
        <v>44303</v>
      </c>
      <c r="I41" s="10" t="s">
        <v>153</v>
      </c>
      <c r="J41" s="3" t="s">
        <v>122</v>
      </c>
    </row>
    <row r="42" spans="1:10" x14ac:dyDescent="0.3">
      <c r="A42" s="3" t="s">
        <v>48</v>
      </c>
      <c r="B42" s="3" t="s">
        <v>112</v>
      </c>
      <c r="C42" s="3" t="s">
        <v>118</v>
      </c>
      <c r="D42" s="3">
        <v>77</v>
      </c>
      <c r="E42" s="3">
        <v>1</v>
      </c>
      <c r="F42" s="3">
        <v>8392692</v>
      </c>
      <c r="G42" s="3">
        <v>2007</v>
      </c>
      <c r="H42" s="10">
        <v>39305</v>
      </c>
      <c r="I42" s="10" t="s">
        <v>155</v>
      </c>
      <c r="J42" s="3" t="s">
        <v>122</v>
      </c>
    </row>
    <row r="43" spans="1:10" x14ac:dyDescent="0.3">
      <c r="A43" s="3" t="s">
        <v>49</v>
      </c>
      <c r="B43" s="3" t="s">
        <v>116</v>
      </c>
      <c r="C43" s="3" t="s">
        <v>118</v>
      </c>
      <c r="D43" s="3">
        <v>175</v>
      </c>
      <c r="E43" s="3">
        <v>2</v>
      </c>
      <c r="F43" s="3">
        <v>18889500</v>
      </c>
      <c r="G43" s="3">
        <v>2006</v>
      </c>
      <c r="H43" s="10">
        <v>38739</v>
      </c>
      <c r="I43" s="10" t="s">
        <v>150</v>
      </c>
      <c r="J43" s="3" t="s">
        <v>122</v>
      </c>
    </row>
    <row r="44" spans="1:10" x14ac:dyDescent="0.3">
      <c r="A44" s="3" t="s">
        <v>50</v>
      </c>
      <c r="B44" s="3" t="s">
        <v>116</v>
      </c>
      <c r="C44" s="3" t="s">
        <v>121</v>
      </c>
      <c r="D44" s="3">
        <v>96</v>
      </c>
      <c r="E44" s="3">
        <v>2</v>
      </c>
      <c r="F44" s="3">
        <v>10933536</v>
      </c>
      <c r="G44" s="3">
        <v>2015</v>
      </c>
      <c r="H44" s="10">
        <v>42117</v>
      </c>
      <c r="I44" s="10" t="s">
        <v>153</v>
      </c>
      <c r="J44" s="3" t="s">
        <v>122</v>
      </c>
    </row>
    <row r="45" spans="1:10" x14ac:dyDescent="0.3">
      <c r="A45" s="3" t="s">
        <v>51</v>
      </c>
      <c r="B45" s="3" t="s">
        <v>115</v>
      </c>
      <c r="C45" s="3" t="s">
        <v>120</v>
      </c>
      <c r="D45" s="3">
        <v>63</v>
      </c>
      <c r="E45" s="3">
        <v>3</v>
      </c>
      <c r="F45" s="3">
        <v>6297732</v>
      </c>
      <c r="G45" s="3">
        <v>2015</v>
      </c>
      <c r="H45" s="10">
        <v>42201</v>
      </c>
      <c r="I45" s="10" t="s">
        <v>149</v>
      </c>
      <c r="J45" s="3" t="s">
        <v>122</v>
      </c>
    </row>
    <row r="46" spans="1:10" x14ac:dyDescent="0.3">
      <c r="A46" s="3" t="s">
        <v>52</v>
      </c>
      <c r="B46" s="3" t="s">
        <v>112</v>
      </c>
      <c r="C46" s="3" t="s">
        <v>120</v>
      </c>
      <c r="D46" s="3">
        <v>189</v>
      </c>
      <c r="E46" s="3">
        <v>5</v>
      </c>
      <c r="F46" s="3">
        <v>14468328</v>
      </c>
      <c r="G46" s="3">
        <v>2007</v>
      </c>
      <c r="H46" s="10">
        <v>39147</v>
      </c>
      <c r="I46" s="10" t="s">
        <v>154</v>
      </c>
      <c r="J46" s="3" t="s">
        <v>122</v>
      </c>
    </row>
    <row r="47" spans="1:10" x14ac:dyDescent="0.3">
      <c r="A47" s="3" t="s">
        <v>53</v>
      </c>
      <c r="B47" s="3" t="s">
        <v>109</v>
      </c>
      <c r="C47" s="3" t="s">
        <v>121</v>
      </c>
      <c r="D47" s="3">
        <v>63</v>
      </c>
      <c r="E47" s="3">
        <v>3</v>
      </c>
      <c r="F47" s="3">
        <v>4694004</v>
      </c>
      <c r="G47" s="3">
        <v>2012</v>
      </c>
      <c r="H47" s="10">
        <v>41138</v>
      </c>
      <c r="I47" s="10" t="s">
        <v>155</v>
      </c>
      <c r="J47" s="3" t="s">
        <v>123</v>
      </c>
    </row>
    <row r="48" spans="1:10" x14ac:dyDescent="0.3">
      <c r="A48" s="3" t="s">
        <v>54</v>
      </c>
      <c r="B48" s="3" t="s">
        <v>115</v>
      </c>
      <c r="C48" s="3" t="s">
        <v>119</v>
      </c>
      <c r="D48" s="3">
        <v>142</v>
      </c>
      <c r="E48" s="3">
        <v>5</v>
      </c>
      <c r="F48" s="3">
        <v>16487194</v>
      </c>
      <c r="G48" s="3">
        <v>2014</v>
      </c>
      <c r="H48" s="10">
        <v>41801</v>
      </c>
      <c r="I48" s="10" t="s">
        <v>152</v>
      </c>
      <c r="J48" s="3" t="s">
        <v>122</v>
      </c>
    </row>
    <row r="49" spans="1:10" x14ac:dyDescent="0.3">
      <c r="A49" s="3" t="s">
        <v>55</v>
      </c>
      <c r="B49" s="3" t="s">
        <v>109</v>
      </c>
      <c r="C49" s="3" t="s">
        <v>121</v>
      </c>
      <c r="D49" s="3">
        <v>199</v>
      </c>
      <c r="E49" s="3">
        <v>1</v>
      </c>
      <c r="F49" s="3">
        <v>15681200</v>
      </c>
      <c r="G49" s="3">
        <v>2013</v>
      </c>
      <c r="H49" s="10">
        <v>41541</v>
      </c>
      <c r="I49" s="10" t="s">
        <v>148</v>
      </c>
      <c r="J49" s="3" t="s">
        <v>122</v>
      </c>
    </row>
    <row r="50" spans="1:10" x14ac:dyDescent="0.3">
      <c r="A50" s="3" t="s">
        <v>56</v>
      </c>
      <c r="B50" s="3" t="s">
        <v>108</v>
      </c>
      <c r="C50" s="3" t="s">
        <v>119</v>
      </c>
      <c r="D50" s="3">
        <v>99</v>
      </c>
      <c r="E50" s="3">
        <v>3</v>
      </c>
      <c r="F50" s="3">
        <v>10854162</v>
      </c>
      <c r="G50" s="3">
        <v>2011</v>
      </c>
      <c r="H50" s="10">
        <v>40759</v>
      </c>
      <c r="I50" s="10" t="s">
        <v>155</v>
      </c>
      <c r="J50" s="3" t="s">
        <v>123</v>
      </c>
    </row>
    <row r="51" spans="1:10" x14ac:dyDescent="0.3">
      <c r="A51" s="3" t="s">
        <v>57</v>
      </c>
      <c r="B51" s="3" t="s">
        <v>110</v>
      </c>
      <c r="C51" s="3" t="s">
        <v>121</v>
      </c>
      <c r="D51" s="3">
        <v>159</v>
      </c>
      <c r="E51" s="3">
        <v>4</v>
      </c>
      <c r="F51" s="3">
        <v>13746663</v>
      </c>
      <c r="G51" s="3">
        <v>2006</v>
      </c>
      <c r="H51" s="10">
        <v>39016</v>
      </c>
      <c r="I51" s="10" t="s">
        <v>151</v>
      </c>
      <c r="J51" s="3" t="s">
        <v>122</v>
      </c>
    </row>
    <row r="52" spans="1:10" x14ac:dyDescent="0.3">
      <c r="A52" s="3" t="s">
        <v>58</v>
      </c>
      <c r="B52" s="3" t="s">
        <v>116</v>
      </c>
      <c r="C52" s="3" t="s">
        <v>121</v>
      </c>
      <c r="D52" s="3">
        <v>41</v>
      </c>
      <c r="E52" s="3">
        <v>1</v>
      </c>
      <c r="F52" s="3">
        <v>3766219</v>
      </c>
      <c r="G52" s="3">
        <v>2009</v>
      </c>
      <c r="H52" s="10">
        <v>39841</v>
      </c>
      <c r="I52" s="10" t="s">
        <v>150</v>
      </c>
      <c r="J52" s="3" t="s">
        <v>123</v>
      </c>
    </row>
    <row r="53" spans="1:10" x14ac:dyDescent="0.3">
      <c r="A53" s="3" t="s">
        <v>59</v>
      </c>
      <c r="B53" s="3" t="s">
        <v>111</v>
      </c>
      <c r="C53" s="3" t="s">
        <v>120</v>
      </c>
      <c r="D53" s="3">
        <v>171</v>
      </c>
      <c r="E53" s="3">
        <v>4</v>
      </c>
      <c r="F53" s="3">
        <v>18255789</v>
      </c>
      <c r="G53" s="3">
        <v>2005</v>
      </c>
      <c r="H53" s="10">
        <v>38392</v>
      </c>
      <c r="I53" s="10" t="s">
        <v>156</v>
      </c>
      <c r="J53" s="3" t="s">
        <v>122</v>
      </c>
    </row>
    <row r="54" spans="1:10" x14ac:dyDescent="0.3">
      <c r="A54" s="3" t="s">
        <v>60</v>
      </c>
      <c r="B54" s="3" t="s">
        <v>108</v>
      </c>
      <c r="C54" s="3" t="s">
        <v>119</v>
      </c>
      <c r="D54" s="3">
        <v>169</v>
      </c>
      <c r="E54" s="3">
        <v>1</v>
      </c>
      <c r="F54" s="3">
        <v>15919124</v>
      </c>
      <c r="G54" s="3">
        <v>2023</v>
      </c>
      <c r="H54" s="10">
        <v>45194</v>
      </c>
      <c r="I54" s="10" t="s">
        <v>148</v>
      </c>
      <c r="J54" s="3" t="s">
        <v>122</v>
      </c>
    </row>
    <row r="55" spans="1:10" x14ac:dyDescent="0.3">
      <c r="A55" s="3" t="s">
        <v>61</v>
      </c>
      <c r="B55" s="3" t="s">
        <v>116</v>
      </c>
      <c r="C55" s="3" t="s">
        <v>119</v>
      </c>
      <c r="D55" s="3">
        <v>40</v>
      </c>
      <c r="E55" s="3">
        <v>3</v>
      </c>
      <c r="F55" s="3">
        <v>3755880</v>
      </c>
      <c r="G55" s="3">
        <v>2006</v>
      </c>
      <c r="H55" s="10">
        <v>38930</v>
      </c>
      <c r="I55" s="10" t="s">
        <v>155</v>
      </c>
      <c r="J55" s="3" t="s">
        <v>123</v>
      </c>
    </row>
    <row r="56" spans="1:10" x14ac:dyDescent="0.3">
      <c r="A56" s="3" t="s">
        <v>62</v>
      </c>
      <c r="B56" s="3" t="s">
        <v>110</v>
      </c>
      <c r="C56" s="3" t="s">
        <v>119</v>
      </c>
      <c r="D56" s="3">
        <v>200</v>
      </c>
      <c r="E56" s="3">
        <v>1</v>
      </c>
      <c r="F56" s="3">
        <v>18635600</v>
      </c>
      <c r="G56" s="3">
        <v>2022</v>
      </c>
      <c r="H56" s="10">
        <v>44841</v>
      </c>
      <c r="I56" s="10" t="s">
        <v>151</v>
      </c>
      <c r="J56" s="3" t="s">
        <v>123</v>
      </c>
    </row>
    <row r="57" spans="1:10" x14ac:dyDescent="0.3">
      <c r="A57" s="3" t="s">
        <v>63</v>
      </c>
      <c r="B57" s="3" t="s">
        <v>113</v>
      </c>
      <c r="C57" s="3" t="s">
        <v>119</v>
      </c>
      <c r="D57" s="3">
        <v>90</v>
      </c>
      <c r="E57" s="3">
        <v>2</v>
      </c>
      <c r="F57" s="3">
        <v>7344270</v>
      </c>
      <c r="G57" s="3">
        <v>2018</v>
      </c>
      <c r="H57" s="10">
        <v>43136</v>
      </c>
      <c r="I57" s="10" t="s">
        <v>156</v>
      </c>
      <c r="J57" s="3" t="s">
        <v>122</v>
      </c>
    </row>
    <row r="58" spans="1:10" x14ac:dyDescent="0.3">
      <c r="A58" s="3" t="s">
        <v>64</v>
      </c>
      <c r="B58" s="3" t="s">
        <v>111</v>
      </c>
      <c r="C58" s="3" t="s">
        <v>121</v>
      </c>
      <c r="D58" s="3">
        <v>135</v>
      </c>
      <c r="E58" s="3">
        <v>2</v>
      </c>
      <c r="F58" s="3">
        <v>11810475</v>
      </c>
      <c r="G58" s="3">
        <v>2010</v>
      </c>
      <c r="H58" s="10">
        <v>40485</v>
      </c>
      <c r="I58" s="10" t="s">
        <v>147</v>
      </c>
      <c r="J58" s="3" t="s">
        <v>122</v>
      </c>
    </row>
    <row r="59" spans="1:10" x14ac:dyDescent="0.3">
      <c r="A59" s="3" t="s">
        <v>65</v>
      </c>
      <c r="B59" s="3" t="s">
        <v>116</v>
      </c>
      <c r="C59" s="3" t="s">
        <v>118</v>
      </c>
      <c r="D59" s="3">
        <v>150</v>
      </c>
      <c r="E59" s="3">
        <v>2</v>
      </c>
      <c r="F59" s="3">
        <v>12461850</v>
      </c>
      <c r="G59" s="3">
        <v>2019</v>
      </c>
      <c r="H59" s="10">
        <v>43505</v>
      </c>
      <c r="I59" s="10" t="s">
        <v>156</v>
      </c>
      <c r="J59" s="3" t="s">
        <v>123</v>
      </c>
    </row>
    <row r="60" spans="1:10" x14ac:dyDescent="0.3">
      <c r="A60" s="3" t="s">
        <v>66</v>
      </c>
      <c r="B60" s="3" t="s">
        <v>115</v>
      </c>
      <c r="C60" s="3" t="s">
        <v>119</v>
      </c>
      <c r="D60" s="3">
        <v>87</v>
      </c>
      <c r="E60" s="3">
        <v>1</v>
      </c>
      <c r="F60" s="3">
        <v>9853185</v>
      </c>
      <c r="G60" s="3">
        <v>2011</v>
      </c>
      <c r="H60" s="10">
        <v>40721</v>
      </c>
      <c r="I60" s="10" t="s">
        <v>152</v>
      </c>
      <c r="J60" s="3" t="s">
        <v>123</v>
      </c>
    </row>
    <row r="61" spans="1:10" x14ac:dyDescent="0.3">
      <c r="A61" s="3" t="s">
        <v>67</v>
      </c>
      <c r="B61" s="3" t="s">
        <v>117</v>
      </c>
      <c r="C61" s="3" t="s">
        <v>121</v>
      </c>
      <c r="D61" s="3">
        <v>47</v>
      </c>
      <c r="E61" s="3">
        <v>3</v>
      </c>
      <c r="F61" s="3">
        <v>4371564</v>
      </c>
      <c r="G61" s="3">
        <v>2021</v>
      </c>
      <c r="H61" s="10">
        <v>44242</v>
      </c>
      <c r="I61" s="10" t="s">
        <v>156</v>
      </c>
      <c r="J61" s="3" t="s">
        <v>123</v>
      </c>
    </row>
    <row r="62" spans="1:10" x14ac:dyDescent="0.3">
      <c r="A62" s="3" t="s">
        <v>68</v>
      </c>
      <c r="B62" s="3" t="s">
        <v>109</v>
      </c>
      <c r="C62" s="3" t="s">
        <v>121</v>
      </c>
      <c r="D62" s="3">
        <v>37</v>
      </c>
      <c r="E62" s="3">
        <v>1</v>
      </c>
      <c r="F62" s="3">
        <v>3223366</v>
      </c>
      <c r="G62" s="3">
        <v>2010</v>
      </c>
      <c r="H62" s="10">
        <v>40277</v>
      </c>
      <c r="I62" s="10" t="s">
        <v>153</v>
      </c>
      <c r="J62" s="3" t="s">
        <v>123</v>
      </c>
    </row>
    <row r="63" spans="1:10" x14ac:dyDescent="0.3">
      <c r="A63" s="3" t="s">
        <v>69</v>
      </c>
      <c r="B63" s="3" t="s">
        <v>112</v>
      </c>
      <c r="C63" s="3" t="s">
        <v>118</v>
      </c>
      <c r="D63" s="3">
        <v>182</v>
      </c>
      <c r="E63" s="3">
        <v>4</v>
      </c>
      <c r="F63" s="3">
        <v>16863028</v>
      </c>
      <c r="G63" s="3">
        <v>2015</v>
      </c>
      <c r="H63" s="10">
        <v>42089</v>
      </c>
      <c r="I63" s="10" t="s">
        <v>154</v>
      </c>
      <c r="J63" s="3" t="s">
        <v>123</v>
      </c>
    </row>
    <row r="64" spans="1:10" x14ac:dyDescent="0.3">
      <c r="A64" s="3" t="s">
        <v>70</v>
      </c>
      <c r="B64" s="3" t="s">
        <v>113</v>
      </c>
      <c r="C64" s="3" t="s">
        <v>118</v>
      </c>
      <c r="D64" s="3">
        <v>128</v>
      </c>
      <c r="E64" s="3">
        <v>5</v>
      </c>
      <c r="F64" s="3">
        <v>10554496</v>
      </c>
      <c r="G64" s="3">
        <v>2013</v>
      </c>
      <c r="H64" s="10">
        <v>41487</v>
      </c>
      <c r="I64" s="10" t="s">
        <v>155</v>
      </c>
      <c r="J64" s="3" t="s">
        <v>122</v>
      </c>
    </row>
    <row r="65" spans="1:10" x14ac:dyDescent="0.3">
      <c r="A65" s="3" t="s">
        <v>71</v>
      </c>
      <c r="B65" s="3" t="s">
        <v>116</v>
      </c>
      <c r="C65" s="3" t="s">
        <v>118</v>
      </c>
      <c r="D65" s="3">
        <v>163</v>
      </c>
      <c r="E65" s="3">
        <v>5</v>
      </c>
      <c r="F65" s="3">
        <v>18747119</v>
      </c>
      <c r="G65" s="3">
        <v>2011</v>
      </c>
      <c r="H65" s="10">
        <v>40679</v>
      </c>
      <c r="I65" s="10" t="s">
        <v>145</v>
      </c>
      <c r="J65" s="3" t="s">
        <v>123</v>
      </c>
    </row>
    <row r="66" spans="1:10" x14ac:dyDescent="0.3">
      <c r="A66" s="3" t="s">
        <v>72</v>
      </c>
      <c r="B66" s="3" t="s">
        <v>116</v>
      </c>
      <c r="C66" s="3" t="s">
        <v>118</v>
      </c>
      <c r="D66" s="3">
        <v>200</v>
      </c>
      <c r="E66" s="3">
        <v>3</v>
      </c>
      <c r="F66" s="3">
        <v>22167800</v>
      </c>
      <c r="G66" s="3">
        <v>2015</v>
      </c>
      <c r="H66" s="10">
        <v>42261</v>
      </c>
      <c r="I66" s="10" t="s">
        <v>148</v>
      </c>
      <c r="J66" s="3" t="s">
        <v>122</v>
      </c>
    </row>
    <row r="67" spans="1:10" x14ac:dyDescent="0.3">
      <c r="A67" s="3" t="s">
        <v>73</v>
      </c>
      <c r="B67" s="3" t="s">
        <v>115</v>
      </c>
      <c r="C67" s="3" t="s">
        <v>121</v>
      </c>
      <c r="D67" s="3">
        <v>200</v>
      </c>
      <c r="E67" s="3">
        <v>4</v>
      </c>
      <c r="F67" s="3">
        <v>18275200</v>
      </c>
      <c r="G67" s="3">
        <v>2017</v>
      </c>
      <c r="H67" s="10">
        <v>42931</v>
      </c>
      <c r="I67" s="10" t="s">
        <v>149</v>
      </c>
      <c r="J67" s="3" t="s">
        <v>123</v>
      </c>
    </row>
    <row r="68" spans="1:10" x14ac:dyDescent="0.3">
      <c r="A68" s="3" t="s">
        <v>74</v>
      </c>
      <c r="B68" s="3" t="s">
        <v>109</v>
      </c>
      <c r="C68" s="3" t="s">
        <v>119</v>
      </c>
      <c r="D68" s="3">
        <v>79</v>
      </c>
      <c r="E68" s="3">
        <v>4</v>
      </c>
      <c r="F68" s="3">
        <v>8972504</v>
      </c>
      <c r="G68" s="3">
        <v>2017</v>
      </c>
      <c r="H68" s="10">
        <v>42939</v>
      </c>
      <c r="I68" s="10" t="s">
        <v>149</v>
      </c>
      <c r="J68" s="3" t="s">
        <v>122</v>
      </c>
    </row>
    <row r="69" spans="1:10" x14ac:dyDescent="0.3">
      <c r="A69" s="3" t="s">
        <v>75</v>
      </c>
      <c r="B69" s="3" t="s">
        <v>113</v>
      </c>
      <c r="C69" s="3" t="s">
        <v>121</v>
      </c>
      <c r="D69" s="3">
        <v>133</v>
      </c>
      <c r="E69" s="3">
        <v>5</v>
      </c>
      <c r="F69" s="3">
        <v>9313458</v>
      </c>
      <c r="G69" s="3">
        <v>2014</v>
      </c>
      <c r="H69" s="10">
        <v>41894</v>
      </c>
      <c r="I69" s="10" t="s">
        <v>148</v>
      </c>
      <c r="J69" s="3" t="s">
        <v>123</v>
      </c>
    </row>
    <row r="70" spans="1:10" x14ac:dyDescent="0.3">
      <c r="A70" s="3" t="s">
        <v>76</v>
      </c>
      <c r="B70" s="3" t="s">
        <v>110</v>
      </c>
      <c r="C70" s="3" t="s">
        <v>120</v>
      </c>
      <c r="D70" s="3">
        <v>178</v>
      </c>
      <c r="E70" s="3">
        <v>5</v>
      </c>
      <c r="F70" s="3">
        <v>20097268</v>
      </c>
      <c r="G70" s="3">
        <v>2015</v>
      </c>
      <c r="H70" s="10">
        <v>42030</v>
      </c>
      <c r="I70" s="10" t="s">
        <v>150</v>
      </c>
      <c r="J70" s="3" t="s">
        <v>123</v>
      </c>
    </row>
    <row r="71" spans="1:10" x14ac:dyDescent="0.3">
      <c r="A71" s="3" t="s">
        <v>77</v>
      </c>
      <c r="B71" s="3" t="s">
        <v>114</v>
      </c>
      <c r="C71" s="3" t="s">
        <v>120</v>
      </c>
      <c r="D71" s="3">
        <v>84</v>
      </c>
      <c r="E71" s="3">
        <v>5</v>
      </c>
      <c r="F71" s="3">
        <v>8484840</v>
      </c>
      <c r="G71" s="3">
        <v>2010</v>
      </c>
      <c r="H71" s="10">
        <v>40413</v>
      </c>
      <c r="I71" s="10" t="s">
        <v>155</v>
      </c>
      <c r="J71" s="3" t="s">
        <v>122</v>
      </c>
    </row>
    <row r="72" spans="1:10" x14ac:dyDescent="0.3">
      <c r="A72" s="3" t="s">
        <v>78</v>
      </c>
      <c r="B72" s="3" t="s">
        <v>115</v>
      </c>
      <c r="C72" s="3" t="s">
        <v>121</v>
      </c>
      <c r="D72" s="3">
        <v>53</v>
      </c>
      <c r="E72" s="3">
        <v>2</v>
      </c>
      <c r="F72" s="3">
        <v>6046876</v>
      </c>
      <c r="G72" s="3">
        <v>2014</v>
      </c>
      <c r="H72" s="10">
        <v>41915</v>
      </c>
      <c r="I72" s="10" t="s">
        <v>151</v>
      </c>
      <c r="J72" s="3" t="s">
        <v>122</v>
      </c>
    </row>
    <row r="73" spans="1:10" x14ac:dyDescent="0.3">
      <c r="A73" s="3" t="s">
        <v>79</v>
      </c>
      <c r="B73" s="3" t="s">
        <v>110</v>
      </c>
      <c r="C73" s="3" t="s">
        <v>119</v>
      </c>
      <c r="D73" s="3">
        <v>36</v>
      </c>
      <c r="E73" s="3">
        <v>1</v>
      </c>
      <c r="F73" s="3">
        <v>3097656</v>
      </c>
      <c r="G73" s="3">
        <v>2020</v>
      </c>
      <c r="H73" s="10">
        <v>43965</v>
      </c>
      <c r="I73" s="10" t="s">
        <v>145</v>
      </c>
      <c r="J73" s="3" t="s">
        <v>122</v>
      </c>
    </row>
    <row r="74" spans="1:10" x14ac:dyDescent="0.3">
      <c r="A74" s="3" t="s">
        <v>80</v>
      </c>
      <c r="B74" s="3" t="s">
        <v>114</v>
      </c>
      <c r="C74" s="3" t="s">
        <v>120</v>
      </c>
      <c r="D74" s="3">
        <v>191</v>
      </c>
      <c r="E74" s="3">
        <v>5</v>
      </c>
      <c r="F74" s="3">
        <v>15803722</v>
      </c>
      <c r="G74" s="3">
        <v>2017</v>
      </c>
      <c r="H74" s="10">
        <v>42911</v>
      </c>
      <c r="I74" s="10" t="s">
        <v>152</v>
      </c>
      <c r="J74" s="3" t="s">
        <v>123</v>
      </c>
    </row>
    <row r="75" spans="1:10" x14ac:dyDescent="0.3">
      <c r="A75" s="3" t="s">
        <v>81</v>
      </c>
      <c r="B75" s="3" t="s">
        <v>116</v>
      </c>
      <c r="C75" s="3" t="s">
        <v>119</v>
      </c>
      <c r="D75" s="3">
        <v>67</v>
      </c>
      <c r="E75" s="3">
        <v>1</v>
      </c>
      <c r="F75" s="3">
        <v>7987405</v>
      </c>
      <c r="G75" s="3">
        <v>2008</v>
      </c>
      <c r="H75" s="10">
        <v>39779</v>
      </c>
      <c r="I75" s="10" t="s">
        <v>147</v>
      </c>
      <c r="J75" s="3" t="s">
        <v>123</v>
      </c>
    </row>
    <row r="76" spans="1:10" x14ac:dyDescent="0.3">
      <c r="A76" s="3" t="s">
        <v>82</v>
      </c>
      <c r="B76" s="3" t="s">
        <v>110</v>
      </c>
      <c r="C76" s="3" t="s">
        <v>119</v>
      </c>
      <c r="D76" s="3">
        <v>162</v>
      </c>
      <c r="E76" s="3">
        <v>4</v>
      </c>
      <c r="F76" s="3">
        <v>11873142</v>
      </c>
      <c r="G76" s="3">
        <v>2022</v>
      </c>
      <c r="H76" s="10">
        <v>44580</v>
      </c>
      <c r="I76" s="10" t="s">
        <v>150</v>
      </c>
      <c r="J76" s="3" t="s">
        <v>122</v>
      </c>
    </row>
    <row r="77" spans="1:10" x14ac:dyDescent="0.3">
      <c r="A77" s="3" t="s">
        <v>83</v>
      </c>
      <c r="B77" s="3" t="s">
        <v>108</v>
      </c>
      <c r="C77" s="3" t="s">
        <v>120</v>
      </c>
      <c r="D77" s="3">
        <v>64</v>
      </c>
      <c r="E77" s="3">
        <v>4</v>
      </c>
      <c r="F77" s="3">
        <v>7280000</v>
      </c>
      <c r="G77" s="3">
        <v>2021</v>
      </c>
      <c r="H77" s="10">
        <v>44323</v>
      </c>
      <c r="I77" s="10" t="s">
        <v>145</v>
      </c>
      <c r="J77" s="3" t="s">
        <v>123</v>
      </c>
    </row>
    <row r="78" spans="1:10" x14ac:dyDescent="0.3">
      <c r="A78" s="3" t="s">
        <v>84</v>
      </c>
      <c r="B78" s="3" t="s">
        <v>114</v>
      </c>
      <c r="C78" s="3" t="s">
        <v>120</v>
      </c>
      <c r="D78" s="3">
        <v>170</v>
      </c>
      <c r="E78" s="3">
        <v>4</v>
      </c>
      <c r="F78" s="3">
        <v>13673100</v>
      </c>
      <c r="G78" s="3">
        <v>2020</v>
      </c>
      <c r="H78" s="10">
        <v>44169</v>
      </c>
      <c r="I78" s="10" t="s">
        <v>146</v>
      </c>
      <c r="J78" s="3" t="s">
        <v>123</v>
      </c>
    </row>
    <row r="79" spans="1:10" x14ac:dyDescent="0.3">
      <c r="A79" s="3" t="s">
        <v>85</v>
      </c>
      <c r="B79" s="3" t="s">
        <v>115</v>
      </c>
      <c r="C79" s="3" t="s">
        <v>119</v>
      </c>
      <c r="D79" s="3">
        <v>193</v>
      </c>
      <c r="E79" s="3">
        <v>3</v>
      </c>
      <c r="F79" s="3">
        <v>20103459</v>
      </c>
      <c r="G79" s="3">
        <v>2020</v>
      </c>
      <c r="H79" s="10">
        <v>44147</v>
      </c>
      <c r="I79" s="10" t="s">
        <v>147</v>
      </c>
      <c r="J79" s="3" t="s">
        <v>122</v>
      </c>
    </row>
    <row r="80" spans="1:10" x14ac:dyDescent="0.3">
      <c r="A80" s="3" t="s">
        <v>86</v>
      </c>
      <c r="B80" s="3" t="s">
        <v>115</v>
      </c>
      <c r="C80" s="3" t="s">
        <v>120</v>
      </c>
      <c r="D80" s="3">
        <v>49</v>
      </c>
      <c r="E80" s="3">
        <v>3</v>
      </c>
      <c r="F80" s="3">
        <v>4182983</v>
      </c>
      <c r="G80" s="3">
        <v>2013</v>
      </c>
      <c r="H80" s="10">
        <v>41530</v>
      </c>
      <c r="I80" s="10" t="s">
        <v>148</v>
      </c>
      <c r="J80" s="3" t="s">
        <v>123</v>
      </c>
    </row>
    <row r="81" spans="1:10" x14ac:dyDescent="0.3">
      <c r="A81" s="3" t="s">
        <v>87</v>
      </c>
      <c r="B81" s="3" t="s">
        <v>117</v>
      </c>
      <c r="C81" s="3" t="s">
        <v>118</v>
      </c>
      <c r="D81" s="3">
        <v>65</v>
      </c>
      <c r="E81" s="3">
        <v>2</v>
      </c>
      <c r="F81" s="3">
        <v>5535075</v>
      </c>
      <c r="G81" s="3">
        <v>2017</v>
      </c>
      <c r="H81" s="10">
        <v>42924</v>
      </c>
      <c r="I81" s="10" t="s">
        <v>149</v>
      </c>
      <c r="J81" s="3" t="s">
        <v>122</v>
      </c>
    </row>
    <row r="82" spans="1:10" x14ac:dyDescent="0.3">
      <c r="A82" s="3" t="s">
        <v>88</v>
      </c>
      <c r="B82" s="3" t="s">
        <v>110</v>
      </c>
      <c r="C82" s="3" t="s">
        <v>118</v>
      </c>
      <c r="D82" s="3">
        <v>136</v>
      </c>
      <c r="E82" s="3">
        <v>4</v>
      </c>
      <c r="F82" s="3">
        <v>12469024</v>
      </c>
      <c r="G82" s="3">
        <v>2022</v>
      </c>
      <c r="H82" s="10">
        <v>44589</v>
      </c>
      <c r="I82" s="10" t="s">
        <v>150</v>
      </c>
      <c r="J82" s="3" t="s">
        <v>123</v>
      </c>
    </row>
    <row r="83" spans="1:10" x14ac:dyDescent="0.3">
      <c r="A83" s="3" t="s">
        <v>89</v>
      </c>
      <c r="B83" s="3" t="s">
        <v>116</v>
      </c>
      <c r="C83" s="3" t="s">
        <v>118</v>
      </c>
      <c r="D83" s="3">
        <v>82</v>
      </c>
      <c r="E83" s="3">
        <v>4</v>
      </c>
      <c r="F83" s="3">
        <v>7832968</v>
      </c>
      <c r="G83" s="3">
        <v>2023</v>
      </c>
      <c r="H83" s="10">
        <v>45214</v>
      </c>
      <c r="I83" s="10" t="s">
        <v>151</v>
      </c>
      <c r="J83" s="3" t="s">
        <v>122</v>
      </c>
    </row>
    <row r="84" spans="1:10" x14ac:dyDescent="0.3">
      <c r="A84" s="3" t="s">
        <v>90</v>
      </c>
      <c r="B84" s="3" t="s">
        <v>113</v>
      </c>
      <c r="C84" s="3" t="s">
        <v>120</v>
      </c>
      <c r="D84" s="3">
        <v>152</v>
      </c>
      <c r="E84" s="3">
        <v>1</v>
      </c>
      <c r="F84" s="3">
        <v>14143904</v>
      </c>
      <c r="G84" s="3">
        <v>2014</v>
      </c>
      <c r="H84" s="10">
        <v>41816</v>
      </c>
      <c r="I84" s="10" t="s">
        <v>152</v>
      </c>
      <c r="J84" s="3" t="s">
        <v>123</v>
      </c>
    </row>
    <row r="85" spans="1:10" x14ac:dyDescent="0.3">
      <c r="A85" s="3" t="s">
        <v>91</v>
      </c>
      <c r="B85" s="3" t="s">
        <v>116</v>
      </c>
      <c r="C85" s="3" t="s">
        <v>119</v>
      </c>
      <c r="D85" s="3">
        <v>154</v>
      </c>
      <c r="E85" s="3">
        <v>2</v>
      </c>
      <c r="F85" s="3">
        <v>13534598</v>
      </c>
      <c r="G85" s="3">
        <v>2018</v>
      </c>
      <c r="H85" s="10">
        <v>43430</v>
      </c>
      <c r="I85" s="10" t="s">
        <v>147</v>
      </c>
      <c r="J85" s="3" t="s">
        <v>123</v>
      </c>
    </row>
    <row r="86" spans="1:10" x14ac:dyDescent="0.3">
      <c r="A86" s="3" t="s">
        <v>92</v>
      </c>
      <c r="B86" s="3" t="s">
        <v>112</v>
      </c>
      <c r="C86" s="3" t="s">
        <v>120</v>
      </c>
      <c r="D86" s="3">
        <v>116</v>
      </c>
      <c r="E86" s="3">
        <v>4</v>
      </c>
      <c r="F86" s="3">
        <v>13625244</v>
      </c>
      <c r="G86" s="3">
        <v>2010</v>
      </c>
      <c r="H86" s="10">
        <v>40275</v>
      </c>
      <c r="I86" s="10" t="s">
        <v>153</v>
      </c>
      <c r="J86" s="3" t="s">
        <v>123</v>
      </c>
    </row>
    <row r="87" spans="1:10" x14ac:dyDescent="0.3">
      <c r="A87" s="3" t="s">
        <v>93</v>
      </c>
      <c r="B87" s="3" t="s">
        <v>111</v>
      </c>
      <c r="C87" s="3" t="s">
        <v>118</v>
      </c>
      <c r="D87" s="3">
        <v>130</v>
      </c>
      <c r="E87" s="3">
        <v>5</v>
      </c>
      <c r="F87" s="3">
        <v>13908310</v>
      </c>
      <c r="G87" s="3">
        <v>2005</v>
      </c>
      <c r="H87" s="10">
        <v>38414</v>
      </c>
      <c r="I87" s="10" t="s">
        <v>154</v>
      </c>
      <c r="J87" s="3" t="s">
        <v>122</v>
      </c>
    </row>
    <row r="88" spans="1:10" x14ac:dyDescent="0.3">
      <c r="A88" s="3" t="s">
        <v>94</v>
      </c>
      <c r="B88" s="3" t="s">
        <v>116</v>
      </c>
      <c r="C88" s="3" t="s">
        <v>119</v>
      </c>
      <c r="D88" s="3">
        <v>148</v>
      </c>
      <c r="E88" s="3">
        <v>2</v>
      </c>
      <c r="F88" s="3">
        <v>10847660</v>
      </c>
      <c r="G88" s="3">
        <v>2013</v>
      </c>
      <c r="H88" s="10">
        <v>41501</v>
      </c>
      <c r="I88" s="10" t="s">
        <v>155</v>
      </c>
      <c r="J88" s="3" t="s">
        <v>123</v>
      </c>
    </row>
    <row r="89" spans="1:10" x14ac:dyDescent="0.3">
      <c r="A89" s="3" t="s">
        <v>95</v>
      </c>
      <c r="B89" s="3" t="s">
        <v>117</v>
      </c>
      <c r="C89" s="3" t="s">
        <v>119</v>
      </c>
      <c r="D89" s="3">
        <v>146</v>
      </c>
      <c r="E89" s="3">
        <v>3</v>
      </c>
      <c r="F89" s="3">
        <v>13449228</v>
      </c>
      <c r="G89" s="3">
        <v>2017</v>
      </c>
      <c r="H89" s="10">
        <v>42990</v>
      </c>
      <c r="I89" s="10" t="s">
        <v>148</v>
      </c>
      <c r="J89" s="3" t="s">
        <v>123</v>
      </c>
    </row>
    <row r="90" spans="1:10" x14ac:dyDescent="0.3">
      <c r="A90" s="3" t="s">
        <v>96</v>
      </c>
      <c r="B90" s="3" t="s">
        <v>116</v>
      </c>
      <c r="C90" s="3" t="s">
        <v>121</v>
      </c>
      <c r="D90" s="3">
        <v>50</v>
      </c>
      <c r="E90" s="3">
        <v>4</v>
      </c>
      <c r="F90" s="3">
        <v>3563500</v>
      </c>
      <c r="G90" s="3">
        <v>2022</v>
      </c>
      <c r="H90" s="10">
        <v>44607</v>
      </c>
      <c r="I90" s="10" t="s">
        <v>156</v>
      </c>
      <c r="J90" s="3" t="s">
        <v>122</v>
      </c>
    </row>
    <row r="91" spans="1:10" x14ac:dyDescent="0.3">
      <c r="A91" s="3" t="s">
        <v>97</v>
      </c>
      <c r="B91" s="3" t="s">
        <v>117</v>
      </c>
      <c r="C91" s="3" t="s">
        <v>119</v>
      </c>
      <c r="D91" s="3">
        <v>196</v>
      </c>
      <c r="E91" s="3">
        <v>1</v>
      </c>
      <c r="F91" s="3">
        <v>22091748</v>
      </c>
      <c r="G91" s="3">
        <v>2006</v>
      </c>
      <c r="H91" s="10">
        <v>38996</v>
      </c>
      <c r="I91" s="10" t="s">
        <v>151</v>
      </c>
      <c r="J91" s="3" t="s">
        <v>122</v>
      </c>
    </row>
    <row r="92" spans="1:10" x14ac:dyDescent="0.3">
      <c r="A92" s="3" t="s">
        <v>98</v>
      </c>
      <c r="B92" s="3" t="s">
        <v>110</v>
      </c>
      <c r="C92" s="3" t="s">
        <v>119</v>
      </c>
      <c r="D92" s="3">
        <v>35</v>
      </c>
      <c r="E92" s="3">
        <v>5</v>
      </c>
      <c r="F92" s="3">
        <v>2799510</v>
      </c>
      <c r="G92" s="3">
        <v>2012</v>
      </c>
      <c r="H92" s="10">
        <v>41221</v>
      </c>
      <c r="I92" s="10" t="s">
        <v>147</v>
      </c>
      <c r="J92" s="3" t="s">
        <v>122</v>
      </c>
    </row>
    <row r="93" spans="1:10" x14ac:dyDescent="0.3">
      <c r="A93" s="3" t="s">
        <v>99</v>
      </c>
      <c r="B93" s="3" t="s">
        <v>114</v>
      </c>
      <c r="C93" s="3" t="s">
        <v>118</v>
      </c>
      <c r="D93" s="3">
        <v>174</v>
      </c>
      <c r="E93" s="3">
        <v>2</v>
      </c>
      <c r="F93" s="3">
        <v>17482824</v>
      </c>
      <c r="G93" s="3">
        <v>2013</v>
      </c>
      <c r="H93" s="10">
        <v>41499</v>
      </c>
      <c r="I93" s="10" t="s">
        <v>155</v>
      </c>
      <c r="J93" s="3" t="s">
        <v>123</v>
      </c>
    </row>
    <row r="94" spans="1:10" x14ac:dyDescent="0.3">
      <c r="A94" s="3" t="s">
        <v>100</v>
      </c>
      <c r="B94" s="3" t="s">
        <v>111</v>
      </c>
      <c r="C94" s="3" t="s">
        <v>118</v>
      </c>
      <c r="D94" s="3">
        <v>71</v>
      </c>
      <c r="E94" s="3">
        <v>3</v>
      </c>
      <c r="F94" s="3">
        <v>5472964</v>
      </c>
      <c r="G94" s="3">
        <v>2023</v>
      </c>
      <c r="H94" s="10">
        <v>45234</v>
      </c>
      <c r="I94" s="10" t="s">
        <v>147</v>
      </c>
      <c r="J94" s="3" t="s">
        <v>122</v>
      </c>
    </row>
    <row r="95" spans="1:10" x14ac:dyDescent="0.3">
      <c r="A95" s="3" t="s">
        <v>101</v>
      </c>
      <c r="B95" s="3" t="s">
        <v>115</v>
      </c>
      <c r="C95" s="3" t="s">
        <v>120</v>
      </c>
      <c r="D95" s="3">
        <v>131</v>
      </c>
      <c r="E95" s="3">
        <v>2</v>
      </c>
      <c r="F95" s="3">
        <v>9822380</v>
      </c>
      <c r="G95" s="3">
        <v>2023</v>
      </c>
      <c r="H95" s="10">
        <v>44938</v>
      </c>
      <c r="I95" s="10" t="s">
        <v>150</v>
      </c>
      <c r="J95" s="3" t="s">
        <v>122</v>
      </c>
    </row>
    <row r="96" spans="1:10" x14ac:dyDescent="0.3">
      <c r="A96" s="3" t="s">
        <v>102</v>
      </c>
      <c r="B96" s="3" t="s">
        <v>108</v>
      </c>
      <c r="C96" s="3" t="s">
        <v>121</v>
      </c>
      <c r="D96" s="3">
        <v>183</v>
      </c>
      <c r="E96" s="3">
        <v>1</v>
      </c>
      <c r="F96" s="3">
        <v>19597104</v>
      </c>
      <c r="G96" s="3">
        <v>2006</v>
      </c>
      <c r="H96" s="10">
        <v>38999</v>
      </c>
      <c r="I96" s="10" t="s">
        <v>151</v>
      </c>
      <c r="J96" s="3" t="s">
        <v>123</v>
      </c>
    </row>
    <row r="97" spans="1:10" x14ac:dyDescent="0.3">
      <c r="A97" s="3" t="s">
        <v>103</v>
      </c>
      <c r="B97" s="3" t="s">
        <v>109</v>
      </c>
      <c r="C97" s="3" t="s">
        <v>120</v>
      </c>
      <c r="D97" s="3">
        <v>199</v>
      </c>
      <c r="E97" s="3">
        <v>3</v>
      </c>
      <c r="F97" s="3">
        <v>14829281</v>
      </c>
      <c r="G97" s="3">
        <v>2021</v>
      </c>
      <c r="H97" s="10">
        <v>44450</v>
      </c>
      <c r="I97" s="10" t="s">
        <v>148</v>
      </c>
      <c r="J97" s="3" t="s">
        <v>123</v>
      </c>
    </row>
    <row r="98" spans="1:10" x14ac:dyDescent="0.3">
      <c r="A98" s="3" t="s">
        <v>104</v>
      </c>
      <c r="B98" s="3" t="s">
        <v>112</v>
      </c>
      <c r="C98" s="3" t="s">
        <v>120</v>
      </c>
      <c r="D98" s="3">
        <v>155</v>
      </c>
      <c r="E98" s="3">
        <v>1</v>
      </c>
      <c r="F98" s="3">
        <v>15253705</v>
      </c>
      <c r="G98" s="3">
        <v>2016</v>
      </c>
      <c r="H98" s="10">
        <v>42650</v>
      </c>
      <c r="I98" s="10" t="s">
        <v>151</v>
      </c>
      <c r="J98" s="3" t="s">
        <v>123</v>
      </c>
    </row>
    <row r="99" spans="1:10" x14ac:dyDescent="0.3">
      <c r="A99" s="3" t="s">
        <v>105</v>
      </c>
      <c r="B99" s="3" t="s">
        <v>111</v>
      </c>
      <c r="C99" s="3" t="s">
        <v>120</v>
      </c>
      <c r="D99" s="3">
        <v>75</v>
      </c>
      <c r="E99" s="3">
        <v>5</v>
      </c>
      <c r="F99" s="3">
        <v>8447100</v>
      </c>
      <c r="G99" s="3">
        <v>2013</v>
      </c>
      <c r="H99" s="10">
        <v>41449</v>
      </c>
      <c r="I99" s="10" t="s">
        <v>152</v>
      </c>
      <c r="J99" s="3" t="s">
        <v>123</v>
      </c>
    </row>
    <row r="100" spans="1:10" x14ac:dyDescent="0.3">
      <c r="A100" s="3" t="s">
        <v>106</v>
      </c>
      <c r="B100" s="3" t="s">
        <v>114</v>
      </c>
      <c r="C100" s="3" t="s">
        <v>120</v>
      </c>
      <c r="D100" s="3">
        <v>181</v>
      </c>
      <c r="E100" s="3">
        <v>3</v>
      </c>
      <c r="F100" s="3">
        <v>16493082</v>
      </c>
      <c r="G100" s="3">
        <v>2012</v>
      </c>
      <c r="H100" s="10">
        <v>41073</v>
      </c>
      <c r="I100" s="10" t="s">
        <v>152</v>
      </c>
      <c r="J100" s="3" t="s">
        <v>122</v>
      </c>
    </row>
    <row r="101" spans="1:10" x14ac:dyDescent="0.3">
      <c r="A101" s="3" t="s">
        <v>107</v>
      </c>
      <c r="B101" s="3" t="s">
        <v>115</v>
      </c>
      <c r="C101" s="3" t="s">
        <v>120</v>
      </c>
      <c r="D101" s="3">
        <v>92</v>
      </c>
      <c r="E101" s="3">
        <v>4</v>
      </c>
      <c r="F101" s="3">
        <v>9875740</v>
      </c>
      <c r="G101" s="3">
        <v>2017</v>
      </c>
      <c r="H101" s="10">
        <v>42788</v>
      </c>
      <c r="I101" s="10" t="s">
        <v>156</v>
      </c>
      <c r="J101" s="3" t="s">
        <v>123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299A8-AE22-41E6-8201-2FA82AEB614C}">
  <dimension ref="B2:N21"/>
  <sheetViews>
    <sheetView workbookViewId="0">
      <selection activeCell="O7" sqref="O7"/>
    </sheetView>
  </sheetViews>
  <sheetFormatPr defaultRowHeight="14.4" x14ac:dyDescent="0.3"/>
  <cols>
    <col min="1" max="1" width="4.5546875" customWidth="1"/>
    <col min="2" max="2" width="12.5546875" bestFit="1" customWidth="1"/>
    <col min="3" max="3" width="15.5546875" bestFit="1" customWidth="1"/>
    <col min="4" max="4" width="4.6640625" bestFit="1" customWidth="1"/>
    <col min="5" max="5" width="10.77734375" bestFit="1" customWidth="1"/>
  </cols>
  <sheetData>
    <row r="2" spans="2:14" ht="21" x14ac:dyDescent="0.4">
      <c r="B2" s="4" t="s">
        <v>130</v>
      </c>
    </row>
    <row r="3" spans="2:14" x14ac:dyDescent="0.3">
      <c r="N3" s="1"/>
    </row>
    <row r="4" spans="2:14" x14ac:dyDescent="0.3">
      <c r="B4" s="2" t="s">
        <v>129</v>
      </c>
      <c r="C4" s="2" t="s">
        <v>136</v>
      </c>
    </row>
    <row r="5" spans="2:14" x14ac:dyDescent="0.3">
      <c r="B5" s="2" t="s">
        <v>135</v>
      </c>
      <c r="C5" t="s">
        <v>122</v>
      </c>
      <c r="D5" t="s">
        <v>123</v>
      </c>
      <c r="E5" t="s">
        <v>128</v>
      </c>
      <c r="N5" s="7"/>
    </row>
    <row r="6" spans="2:14" x14ac:dyDescent="0.3">
      <c r="B6" s="3" t="s">
        <v>119</v>
      </c>
      <c r="C6">
        <v>14</v>
      </c>
      <c r="D6">
        <v>13</v>
      </c>
      <c r="E6">
        <v>27</v>
      </c>
    </row>
    <row r="7" spans="2:14" x14ac:dyDescent="0.3">
      <c r="B7" s="3" t="s">
        <v>118</v>
      </c>
      <c r="C7">
        <v>13</v>
      </c>
      <c r="D7">
        <v>9</v>
      </c>
      <c r="E7">
        <v>22</v>
      </c>
    </row>
    <row r="8" spans="2:14" x14ac:dyDescent="0.3">
      <c r="B8" s="3" t="s">
        <v>120</v>
      </c>
      <c r="C8">
        <v>12</v>
      </c>
      <c r="D8">
        <v>16</v>
      </c>
      <c r="E8">
        <v>28</v>
      </c>
    </row>
    <row r="9" spans="2:14" x14ac:dyDescent="0.3">
      <c r="B9" s="3" t="s">
        <v>121</v>
      </c>
      <c r="C9">
        <v>11</v>
      </c>
      <c r="D9">
        <v>12</v>
      </c>
      <c r="E9">
        <v>23</v>
      </c>
    </row>
    <row r="10" spans="2:14" x14ac:dyDescent="0.3">
      <c r="B10" s="3" t="s">
        <v>128</v>
      </c>
      <c r="C10">
        <v>50</v>
      </c>
      <c r="D10">
        <v>50</v>
      </c>
      <c r="E10">
        <v>100</v>
      </c>
    </row>
    <row r="20" spans="2:2" x14ac:dyDescent="0.3">
      <c r="B20" s="1" t="s">
        <v>140</v>
      </c>
    </row>
    <row r="21" spans="2:2" x14ac:dyDescent="0.3">
      <c r="B21" s="6" t="s">
        <v>161</v>
      </c>
    </row>
  </sheetData>
  <pageMargins left="0.7" right="0.7" top="0.75" bottom="0.75" header="0.3" footer="0.3"/>
  <pageSetup paperSize="9"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26475-E43D-4035-BD85-89396729BF80}">
  <dimension ref="B2:C21"/>
  <sheetViews>
    <sheetView workbookViewId="0">
      <selection activeCell="P17" sqref="P17"/>
    </sheetView>
  </sheetViews>
  <sheetFormatPr defaultRowHeight="14.4" x14ac:dyDescent="0.3"/>
  <cols>
    <col min="1" max="1" width="4.109375" customWidth="1"/>
    <col min="2" max="2" width="12.5546875" bestFit="1" customWidth="1"/>
    <col min="3" max="3" width="14.109375" bestFit="1" customWidth="1"/>
    <col min="4" max="4" width="4.77734375" customWidth="1"/>
  </cols>
  <sheetData>
    <row r="2" spans="2:3" ht="21" x14ac:dyDescent="0.4">
      <c r="B2" s="4" t="s">
        <v>131</v>
      </c>
    </row>
    <row r="4" spans="2:3" x14ac:dyDescent="0.3">
      <c r="B4" s="2" t="s">
        <v>135</v>
      </c>
      <c r="C4" t="s">
        <v>137</v>
      </c>
    </row>
    <row r="5" spans="2:3" x14ac:dyDescent="0.3">
      <c r="B5" s="3" t="s">
        <v>113</v>
      </c>
      <c r="C5">
        <v>8</v>
      </c>
    </row>
    <row r="6" spans="2:3" x14ac:dyDescent="0.3">
      <c r="B6" s="3" t="s">
        <v>114</v>
      </c>
      <c r="C6">
        <v>9</v>
      </c>
    </row>
    <row r="7" spans="2:3" x14ac:dyDescent="0.3">
      <c r="B7" s="3" t="s">
        <v>112</v>
      </c>
      <c r="C7">
        <v>7</v>
      </c>
    </row>
    <row r="8" spans="2:3" x14ac:dyDescent="0.3">
      <c r="B8" s="3" t="s">
        <v>117</v>
      </c>
      <c r="C8">
        <v>6</v>
      </c>
    </row>
    <row r="9" spans="2:3" x14ac:dyDescent="0.3">
      <c r="B9" s="3" t="s">
        <v>115</v>
      </c>
      <c r="C9">
        <v>11</v>
      </c>
    </row>
    <row r="10" spans="2:3" x14ac:dyDescent="0.3">
      <c r="B10" s="3" t="s">
        <v>116</v>
      </c>
      <c r="C10">
        <v>15</v>
      </c>
    </row>
    <row r="11" spans="2:3" x14ac:dyDescent="0.3">
      <c r="B11" s="3" t="s">
        <v>110</v>
      </c>
      <c r="C11">
        <v>16</v>
      </c>
    </row>
    <row r="12" spans="2:3" x14ac:dyDescent="0.3">
      <c r="B12" s="3" t="s">
        <v>108</v>
      </c>
      <c r="C12">
        <v>10</v>
      </c>
    </row>
    <row r="13" spans="2:3" x14ac:dyDescent="0.3">
      <c r="B13" s="3" t="s">
        <v>109</v>
      </c>
      <c r="C13">
        <v>10</v>
      </c>
    </row>
    <row r="14" spans="2:3" x14ac:dyDescent="0.3">
      <c r="B14" s="3" t="s">
        <v>111</v>
      </c>
      <c r="C14">
        <v>8</v>
      </c>
    </row>
    <row r="15" spans="2:3" x14ac:dyDescent="0.3">
      <c r="B15" s="3" t="s">
        <v>128</v>
      </c>
      <c r="C15">
        <v>100</v>
      </c>
    </row>
    <row r="20" spans="2:3" x14ac:dyDescent="0.3">
      <c r="B20" s="1" t="s">
        <v>139</v>
      </c>
    </row>
    <row r="21" spans="2:3" x14ac:dyDescent="0.3">
      <c r="B21" s="1" t="s">
        <v>157</v>
      </c>
      <c r="C21" s="7"/>
    </row>
  </sheetData>
  <conditionalFormatting pivot="1" sqref="C5:C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{FA7AD1C3-4B32-420C-8CAA-63A043C6C3EE}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A7AD1C3-4B32-420C-8CAA-63A043C6C3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C5:C14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CB242-785F-4590-A5DB-70ED456F3B33}">
  <dimension ref="B2:E21"/>
  <sheetViews>
    <sheetView tabSelected="1" workbookViewId="0">
      <selection activeCell="L2" sqref="L2"/>
    </sheetView>
  </sheetViews>
  <sheetFormatPr defaultRowHeight="14.4" x14ac:dyDescent="0.3"/>
  <cols>
    <col min="2" max="2" width="12.5546875" bestFit="1" customWidth="1"/>
    <col min="3" max="3" width="15.5546875" bestFit="1" customWidth="1"/>
    <col min="4" max="4" width="4.6640625" bestFit="1" customWidth="1"/>
    <col min="5" max="5" width="10.77734375" bestFit="1" customWidth="1"/>
  </cols>
  <sheetData>
    <row r="2" spans="2:5" ht="21" x14ac:dyDescent="0.4">
      <c r="B2" s="4" t="s">
        <v>132</v>
      </c>
    </row>
    <row r="4" spans="2:5" x14ac:dyDescent="0.3">
      <c r="B4" s="2" t="s">
        <v>129</v>
      </c>
      <c r="C4" s="2" t="s">
        <v>136</v>
      </c>
    </row>
    <row r="5" spans="2:5" x14ac:dyDescent="0.3">
      <c r="B5" s="2" t="s">
        <v>135</v>
      </c>
      <c r="C5" t="s">
        <v>122</v>
      </c>
      <c r="D5" t="s">
        <v>123</v>
      </c>
      <c r="E5" t="s">
        <v>128</v>
      </c>
    </row>
    <row r="6" spans="2:5" x14ac:dyDescent="0.3">
      <c r="B6" s="3" t="s">
        <v>113</v>
      </c>
      <c r="C6">
        <v>5</v>
      </c>
      <c r="D6">
        <v>3</v>
      </c>
      <c r="E6">
        <v>8</v>
      </c>
    </row>
    <row r="7" spans="2:5" x14ac:dyDescent="0.3">
      <c r="B7" s="3" t="s">
        <v>114</v>
      </c>
      <c r="C7">
        <v>4</v>
      </c>
      <c r="D7">
        <v>5</v>
      </c>
      <c r="E7">
        <v>9</v>
      </c>
    </row>
    <row r="8" spans="2:5" x14ac:dyDescent="0.3">
      <c r="B8" s="3" t="s">
        <v>112</v>
      </c>
      <c r="C8">
        <v>3</v>
      </c>
      <c r="D8">
        <v>4</v>
      </c>
      <c r="E8">
        <v>7</v>
      </c>
    </row>
    <row r="9" spans="2:5" x14ac:dyDescent="0.3">
      <c r="B9" s="3" t="s">
        <v>117</v>
      </c>
      <c r="C9">
        <v>4</v>
      </c>
      <c r="D9">
        <v>2</v>
      </c>
      <c r="E9">
        <v>6</v>
      </c>
    </row>
    <row r="10" spans="2:5" x14ac:dyDescent="0.3">
      <c r="B10" s="3" t="s">
        <v>115</v>
      </c>
      <c r="C10">
        <v>6</v>
      </c>
      <c r="D10">
        <v>5</v>
      </c>
      <c r="E10">
        <v>11</v>
      </c>
    </row>
    <row r="11" spans="2:5" x14ac:dyDescent="0.3">
      <c r="B11" s="3" t="s">
        <v>116</v>
      </c>
      <c r="C11">
        <v>7</v>
      </c>
      <c r="D11">
        <v>8</v>
      </c>
      <c r="E11">
        <v>15</v>
      </c>
    </row>
    <row r="12" spans="2:5" x14ac:dyDescent="0.3">
      <c r="B12" s="3" t="s">
        <v>110</v>
      </c>
      <c r="C12">
        <v>9</v>
      </c>
      <c r="D12">
        <v>7</v>
      </c>
      <c r="E12">
        <v>16</v>
      </c>
    </row>
    <row r="13" spans="2:5" x14ac:dyDescent="0.3">
      <c r="B13" s="3" t="s">
        <v>108</v>
      </c>
      <c r="C13">
        <v>3</v>
      </c>
      <c r="D13">
        <v>7</v>
      </c>
      <c r="E13">
        <v>10</v>
      </c>
    </row>
    <row r="14" spans="2:5" x14ac:dyDescent="0.3">
      <c r="B14" s="3" t="s">
        <v>109</v>
      </c>
      <c r="C14">
        <v>4</v>
      </c>
      <c r="D14">
        <v>6</v>
      </c>
      <c r="E14">
        <v>10</v>
      </c>
    </row>
    <row r="15" spans="2:5" x14ac:dyDescent="0.3">
      <c r="B15" s="3" t="s">
        <v>111</v>
      </c>
      <c r="C15">
        <v>5</v>
      </c>
      <c r="D15">
        <v>3</v>
      </c>
      <c r="E15">
        <v>8</v>
      </c>
    </row>
    <row r="16" spans="2:5" x14ac:dyDescent="0.3">
      <c r="B16" s="3" t="s">
        <v>128</v>
      </c>
      <c r="C16">
        <v>50</v>
      </c>
      <c r="D16">
        <v>50</v>
      </c>
      <c r="E16">
        <v>100</v>
      </c>
    </row>
    <row r="20" spans="2:2" x14ac:dyDescent="0.3">
      <c r="B20" s="1" t="s">
        <v>138</v>
      </c>
    </row>
    <row r="21" spans="2:2" x14ac:dyDescent="0.3">
      <c r="B21" s="1" t="s">
        <v>158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97FF-6AE8-4AD5-99E5-FFEBD90AC67C}">
  <dimension ref="B2:G21"/>
  <sheetViews>
    <sheetView workbookViewId="0">
      <selection activeCell="I23" sqref="I23"/>
    </sheetView>
  </sheetViews>
  <sheetFormatPr defaultRowHeight="14.4" x14ac:dyDescent="0.3"/>
  <cols>
    <col min="2" max="2" width="12.5546875" bestFit="1" customWidth="1"/>
    <col min="3" max="3" width="15.5546875" bestFit="1" customWidth="1"/>
    <col min="4" max="4" width="6.5546875" bestFit="1" customWidth="1"/>
    <col min="5" max="5" width="6.21875" bestFit="1" customWidth="1"/>
    <col min="6" max="7" width="10.77734375" bestFit="1" customWidth="1"/>
    <col min="8" max="8" width="10.109375" bestFit="1" customWidth="1"/>
    <col min="9" max="9" width="6.5546875" bestFit="1" customWidth="1"/>
    <col min="10" max="10" width="6.21875" bestFit="1" customWidth="1"/>
    <col min="11" max="11" width="10.77734375" bestFit="1" customWidth="1"/>
    <col min="12" max="12" width="9.33203125" bestFit="1" customWidth="1"/>
    <col min="13" max="13" width="10.77734375" bestFit="1" customWidth="1"/>
  </cols>
  <sheetData>
    <row r="2" spans="2:7" ht="21" x14ac:dyDescent="0.4">
      <c r="B2" s="4" t="s">
        <v>133</v>
      </c>
    </row>
    <row r="4" spans="2:7" x14ac:dyDescent="0.3">
      <c r="B4" s="2" t="s">
        <v>7</v>
      </c>
      <c r="C4" t="s">
        <v>123</v>
      </c>
    </row>
    <row r="6" spans="2:7" x14ac:dyDescent="0.3">
      <c r="B6" s="2" t="s">
        <v>129</v>
      </c>
      <c r="C6" s="2" t="s">
        <v>136</v>
      </c>
    </row>
    <row r="7" spans="2:7" x14ac:dyDescent="0.3">
      <c r="B7" s="2" t="s">
        <v>135</v>
      </c>
      <c r="C7" t="s">
        <v>119</v>
      </c>
      <c r="D7" t="s">
        <v>118</v>
      </c>
      <c r="E7" t="s">
        <v>120</v>
      </c>
      <c r="F7" t="s">
        <v>121</v>
      </c>
      <c r="G7" t="s">
        <v>128</v>
      </c>
    </row>
    <row r="8" spans="2:7" x14ac:dyDescent="0.3">
      <c r="B8" s="3" t="s">
        <v>113</v>
      </c>
      <c r="E8">
        <v>1</v>
      </c>
      <c r="F8">
        <v>2</v>
      </c>
      <c r="G8">
        <v>3</v>
      </c>
    </row>
    <row r="9" spans="2:7" x14ac:dyDescent="0.3">
      <c r="B9" s="3" t="s">
        <v>114</v>
      </c>
      <c r="C9">
        <v>1</v>
      </c>
      <c r="D9">
        <v>1</v>
      </c>
      <c r="E9">
        <v>2</v>
      </c>
      <c r="F9">
        <v>1</v>
      </c>
      <c r="G9">
        <v>5</v>
      </c>
    </row>
    <row r="10" spans="2:7" x14ac:dyDescent="0.3">
      <c r="B10" s="3" t="s">
        <v>112</v>
      </c>
      <c r="D10">
        <v>1</v>
      </c>
      <c r="E10">
        <v>3</v>
      </c>
      <c r="G10">
        <v>4</v>
      </c>
    </row>
    <row r="11" spans="2:7" x14ac:dyDescent="0.3">
      <c r="B11" s="3" t="s">
        <v>117</v>
      </c>
      <c r="C11">
        <v>1</v>
      </c>
      <c r="F11">
        <v>1</v>
      </c>
      <c r="G11">
        <v>2</v>
      </c>
    </row>
    <row r="12" spans="2:7" x14ac:dyDescent="0.3">
      <c r="B12" s="3" t="s">
        <v>115</v>
      </c>
      <c r="C12">
        <v>2</v>
      </c>
      <c r="E12">
        <v>2</v>
      </c>
      <c r="F12">
        <v>1</v>
      </c>
      <c r="G12">
        <v>5</v>
      </c>
    </row>
    <row r="13" spans="2:7" x14ac:dyDescent="0.3">
      <c r="B13" s="3" t="s">
        <v>116</v>
      </c>
      <c r="C13">
        <v>4</v>
      </c>
      <c r="D13">
        <v>3</v>
      </c>
      <c r="F13">
        <v>1</v>
      </c>
      <c r="G13">
        <v>8</v>
      </c>
    </row>
    <row r="14" spans="2:7" x14ac:dyDescent="0.3">
      <c r="B14" s="3" t="s">
        <v>110</v>
      </c>
      <c r="C14">
        <v>1</v>
      </c>
      <c r="D14">
        <v>2</v>
      </c>
      <c r="E14">
        <v>2</v>
      </c>
      <c r="F14">
        <v>2</v>
      </c>
      <c r="G14">
        <v>7</v>
      </c>
    </row>
    <row r="15" spans="2:7" x14ac:dyDescent="0.3">
      <c r="B15" s="3" t="s">
        <v>108</v>
      </c>
      <c r="C15">
        <v>3</v>
      </c>
      <c r="D15">
        <v>2</v>
      </c>
      <c r="E15">
        <v>1</v>
      </c>
      <c r="F15">
        <v>1</v>
      </c>
      <c r="G15">
        <v>7</v>
      </c>
    </row>
    <row r="16" spans="2:7" x14ac:dyDescent="0.3">
      <c r="B16" s="3" t="s">
        <v>109</v>
      </c>
      <c r="E16">
        <v>3</v>
      </c>
      <c r="F16">
        <v>3</v>
      </c>
      <c r="G16">
        <v>6</v>
      </c>
    </row>
    <row r="17" spans="2:7" x14ac:dyDescent="0.3">
      <c r="B17" s="3" t="s">
        <v>111</v>
      </c>
      <c r="C17">
        <v>1</v>
      </c>
      <c r="E17">
        <v>2</v>
      </c>
      <c r="G17">
        <v>3</v>
      </c>
    </row>
    <row r="18" spans="2:7" x14ac:dyDescent="0.3">
      <c r="B18" s="3" t="s">
        <v>128</v>
      </c>
      <c r="C18">
        <v>13</v>
      </c>
      <c r="D18">
        <v>9</v>
      </c>
      <c r="E18">
        <v>16</v>
      </c>
      <c r="F18">
        <v>12</v>
      </c>
      <c r="G18">
        <v>50</v>
      </c>
    </row>
    <row r="20" spans="2:7" x14ac:dyDescent="0.3">
      <c r="B20" s="1" t="s">
        <v>141</v>
      </c>
    </row>
    <row r="21" spans="2:7" x14ac:dyDescent="0.3">
      <c r="B21" s="5" t="s">
        <v>159</v>
      </c>
    </row>
  </sheetData>
  <conditionalFormatting pivot="1" sqref="C8:G1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8A6F4-8D80-4310-B1CF-12AA004E54A8}">
  <dimension ref="B2:C21"/>
  <sheetViews>
    <sheetView zoomScale="90" workbookViewId="0">
      <selection activeCell="N18" sqref="N18"/>
    </sheetView>
  </sheetViews>
  <sheetFormatPr defaultRowHeight="14.4" x14ac:dyDescent="0.3"/>
  <cols>
    <col min="2" max="2" width="13.44140625" bestFit="1" customWidth="1"/>
    <col min="3" max="3" width="14.5546875" bestFit="1" customWidth="1"/>
    <col min="4" max="4" width="4.77734375" bestFit="1" customWidth="1"/>
    <col min="5" max="5" width="11.21875" bestFit="1" customWidth="1"/>
  </cols>
  <sheetData>
    <row r="2" spans="2:3" ht="21" x14ac:dyDescent="0.4">
      <c r="B2" s="4" t="s">
        <v>134</v>
      </c>
    </row>
    <row r="4" spans="2:3" x14ac:dyDescent="0.3">
      <c r="B4" s="2" t="s">
        <v>135</v>
      </c>
      <c r="C4" t="s">
        <v>137</v>
      </c>
    </row>
    <row r="5" spans="2:3" x14ac:dyDescent="0.3">
      <c r="B5" s="3" t="s">
        <v>150</v>
      </c>
      <c r="C5">
        <v>10</v>
      </c>
    </row>
    <row r="6" spans="2:3" x14ac:dyDescent="0.3">
      <c r="B6" s="3" t="s">
        <v>156</v>
      </c>
      <c r="C6">
        <v>10</v>
      </c>
    </row>
    <row r="7" spans="2:3" x14ac:dyDescent="0.3">
      <c r="B7" s="3" t="s">
        <v>154</v>
      </c>
      <c r="C7">
        <v>4</v>
      </c>
    </row>
    <row r="8" spans="2:3" x14ac:dyDescent="0.3">
      <c r="B8" s="3" t="s">
        <v>153</v>
      </c>
      <c r="C8">
        <v>7</v>
      </c>
    </row>
    <row r="9" spans="2:3" x14ac:dyDescent="0.3">
      <c r="B9" s="3" t="s">
        <v>145</v>
      </c>
      <c r="C9">
        <v>7</v>
      </c>
    </row>
    <row r="10" spans="2:3" x14ac:dyDescent="0.3">
      <c r="B10" s="3" t="s">
        <v>152</v>
      </c>
      <c r="C10">
        <v>7</v>
      </c>
    </row>
    <row r="11" spans="2:3" x14ac:dyDescent="0.3">
      <c r="B11" s="3" t="s">
        <v>149</v>
      </c>
      <c r="C11">
        <v>10</v>
      </c>
    </row>
    <row r="12" spans="2:3" x14ac:dyDescent="0.3">
      <c r="B12" s="3" t="s">
        <v>155</v>
      </c>
      <c r="C12">
        <v>11</v>
      </c>
    </row>
    <row r="13" spans="2:3" x14ac:dyDescent="0.3">
      <c r="B13" s="3" t="s">
        <v>148</v>
      </c>
      <c r="C13">
        <v>12</v>
      </c>
    </row>
    <row r="14" spans="2:3" x14ac:dyDescent="0.3">
      <c r="B14" s="3" t="s">
        <v>151</v>
      </c>
      <c r="C14">
        <v>9</v>
      </c>
    </row>
    <row r="15" spans="2:3" x14ac:dyDescent="0.3">
      <c r="B15" s="3" t="s">
        <v>147</v>
      </c>
      <c r="C15">
        <v>10</v>
      </c>
    </row>
    <row r="16" spans="2:3" x14ac:dyDescent="0.3">
      <c r="B16" s="3" t="s">
        <v>146</v>
      </c>
      <c r="C16">
        <v>3</v>
      </c>
    </row>
    <row r="17" spans="2:3" x14ac:dyDescent="0.3">
      <c r="B17" s="3" t="s">
        <v>128</v>
      </c>
      <c r="C17">
        <v>100</v>
      </c>
    </row>
    <row r="20" spans="2:3" x14ac:dyDescent="0.3">
      <c r="B20" s="1" t="s">
        <v>142</v>
      </c>
    </row>
    <row r="21" spans="2:3" x14ac:dyDescent="0.3">
      <c r="B21" s="1" t="s">
        <v>160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C6CB41-FB60-45B5-AE1D-971F8DC59E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</vt:lpstr>
      <vt:lpstr>Q1_Property_Type_Performance</vt:lpstr>
      <vt:lpstr>Q2_Top_Cities_By_Sales</vt:lpstr>
      <vt:lpstr>Q3_Sale_vs_Sold_Ratio_By_Area</vt:lpstr>
      <vt:lpstr>Q4_Best_Property_By_Area</vt:lpstr>
      <vt:lpstr>Q5_Sales_Trends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Dave Joshua Virtudazo</cp:lastModifiedBy>
  <dcterms:created xsi:type="dcterms:W3CDTF">2025-11-11T10:33:19Z</dcterms:created>
  <dcterms:modified xsi:type="dcterms:W3CDTF">2025-11-15T07:32:31Z</dcterms:modified>
</cp:coreProperties>
</file>